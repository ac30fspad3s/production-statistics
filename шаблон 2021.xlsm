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filterPrivacy="1" codeName="ЭтаКнига" defaultThemeVersion="124226"/>
  <xr:revisionPtr revIDLastSave="0" documentId="13_ncr:1_{F8216B17-D408-4D24-BC2E-58291BDCCA1D}" xr6:coauthVersionLast="46" xr6:coauthVersionMax="46" xr10:uidLastSave="{00000000-0000-0000-0000-000000000000}"/>
  <bookViews>
    <workbookView xWindow="-120" yWindow="-120" windowWidth="21840" windowHeight="13140" tabRatio="946" activeTab="2" xr2:uid="{00000000-000D-0000-FFFF-FFFF00000000}"/>
  </bookViews>
  <sheets>
    <sheet name="ИТОГ за месяц" sheetId="5" r:id="rId1"/>
    <sheet name="ЗП" sheetId="45" r:id="rId2"/>
    <sheet name="Проценты" sheetId="44" r:id="rId3"/>
    <sheet name="1" sheetId="11" r:id="rId4"/>
    <sheet name="2" sheetId="13" r:id="rId5"/>
    <sheet name="3" sheetId="14" r:id="rId6"/>
    <sheet name="4" sheetId="15" r:id="rId7"/>
    <sheet name="5" sheetId="16" r:id="rId8"/>
    <sheet name="6" sheetId="17" r:id="rId9"/>
    <sheet name="7" sheetId="18" r:id="rId10"/>
    <sheet name="8" sheetId="19" r:id="rId11"/>
    <sheet name="9" sheetId="20" r:id="rId12"/>
    <sheet name="10" sheetId="21" r:id="rId13"/>
    <sheet name="11" sheetId="22" r:id="rId14"/>
    <sheet name="12" sheetId="23" r:id="rId15"/>
    <sheet name="13" sheetId="24" r:id="rId16"/>
    <sheet name="14" sheetId="25" r:id="rId17"/>
    <sheet name="15" sheetId="26" r:id="rId18"/>
    <sheet name="16" sheetId="27" r:id="rId19"/>
    <sheet name="17" sheetId="28" r:id="rId20"/>
    <sheet name="18" sheetId="29" r:id="rId21"/>
    <sheet name="19" sheetId="30" r:id="rId22"/>
    <sheet name="20" sheetId="31" r:id="rId23"/>
    <sheet name="21" sheetId="32" r:id="rId24"/>
    <sheet name="22" sheetId="33" r:id="rId25"/>
    <sheet name="23" sheetId="34" r:id="rId26"/>
    <sheet name="24" sheetId="35" r:id="rId27"/>
    <sheet name="26" sheetId="37" r:id="rId28"/>
    <sheet name="25" sheetId="36" r:id="rId29"/>
    <sheet name="27" sheetId="38" r:id="rId30"/>
    <sheet name="28" sheetId="39" r:id="rId31"/>
    <sheet name="29" sheetId="40" r:id="rId32"/>
    <sheet name="30" sheetId="41" r:id="rId33"/>
    <sheet name="31" sheetId="42" r:id="rId34"/>
    <sheet name="Опции" sheetId="47" r:id="rId3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33" i="44" l="1"/>
  <c r="AG35" i="44"/>
  <c r="AI35" i="44"/>
  <c r="AI34" i="44"/>
  <c r="AG34" i="44"/>
  <c r="B35" i="44"/>
  <c r="B33" i="44"/>
  <c r="AF34" i="44"/>
  <c r="B34" i="44"/>
  <c r="C35" i="44" l="1"/>
  <c r="C33" i="44"/>
  <c r="D34" i="44"/>
  <c r="C34" i="44"/>
  <c r="E34" i="44"/>
  <c r="F34" i="44"/>
  <c r="G34" i="44"/>
  <c r="H34" i="44"/>
  <c r="I34" i="44"/>
  <c r="J34" i="44"/>
  <c r="K34" i="44"/>
  <c r="L34" i="44"/>
  <c r="M34" i="44"/>
  <c r="N34" i="44"/>
  <c r="O34" i="44"/>
  <c r="P34" i="44"/>
  <c r="Q34" i="44"/>
  <c r="R34" i="44"/>
  <c r="S34" i="44"/>
  <c r="T34" i="44"/>
  <c r="U34" i="44"/>
  <c r="V34" i="44"/>
  <c r="W34" i="44"/>
  <c r="X34" i="44"/>
  <c r="Y34" i="44"/>
  <c r="Z34" i="44"/>
  <c r="AA34" i="44"/>
  <c r="AB34" i="44"/>
  <c r="AC34" i="44"/>
  <c r="AD34" i="44"/>
  <c r="AE34" i="44"/>
  <c r="C30" i="44"/>
  <c r="D30" i="44"/>
  <c r="E30" i="44"/>
  <c r="F30" i="44"/>
  <c r="G30" i="44"/>
  <c r="H30" i="44"/>
  <c r="I30" i="44"/>
  <c r="J30" i="44"/>
  <c r="K30" i="44"/>
  <c r="L30" i="44"/>
  <c r="M30" i="44"/>
  <c r="N30" i="44"/>
  <c r="O30" i="44"/>
  <c r="P30" i="44"/>
  <c r="Q30" i="44"/>
  <c r="R30" i="44"/>
  <c r="S30" i="44"/>
  <c r="T30" i="44"/>
  <c r="U30" i="44"/>
  <c r="V30" i="44"/>
  <c r="W30" i="44"/>
  <c r="X30" i="44"/>
  <c r="Y30" i="44"/>
  <c r="Z30" i="44"/>
  <c r="AA30" i="44"/>
  <c r="AB30" i="44"/>
  <c r="AC30" i="44"/>
  <c r="AD30" i="44"/>
  <c r="AE30" i="44"/>
  <c r="AF30" i="44"/>
  <c r="B30" i="44"/>
  <c r="G21" i="44"/>
  <c r="D21" i="44"/>
  <c r="B21" i="44"/>
  <c r="C21" i="44"/>
  <c r="E21" i="44"/>
  <c r="F21" i="44"/>
  <c r="H21" i="44"/>
  <c r="I21" i="44"/>
  <c r="J21" i="44"/>
  <c r="K21" i="44"/>
  <c r="L21" i="44"/>
  <c r="M21" i="44"/>
  <c r="N21" i="44"/>
  <c r="O21" i="44"/>
  <c r="P21" i="44"/>
  <c r="Q21" i="44"/>
  <c r="R21" i="44"/>
  <c r="S21" i="44"/>
  <c r="T21" i="44"/>
  <c r="U21" i="44"/>
  <c r="V21" i="44"/>
  <c r="W21" i="44"/>
  <c r="X21" i="44"/>
  <c r="Y21" i="44"/>
  <c r="Z21" i="44"/>
  <c r="AA21" i="44"/>
  <c r="AB21" i="44"/>
  <c r="AC21" i="44"/>
  <c r="AD21" i="44"/>
  <c r="AE21" i="44"/>
  <c r="AF21" i="44"/>
  <c r="B11" i="44"/>
  <c r="C11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P11" i="44"/>
  <c r="Q11" i="44"/>
  <c r="R11" i="44"/>
  <c r="S11" i="44"/>
  <c r="T11" i="44"/>
  <c r="U11" i="44"/>
  <c r="V11" i="44"/>
  <c r="W11" i="44"/>
  <c r="X11" i="44"/>
  <c r="Y11" i="44"/>
  <c r="Z11" i="44"/>
  <c r="AA11" i="44"/>
  <c r="AB11" i="44"/>
  <c r="AC11" i="44"/>
  <c r="AD11" i="44"/>
  <c r="AE11" i="44"/>
  <c r="AF11" i="44"/>
  <c r="AI30" i="44"/>
  <c r="AI25" i="44"/>
  <c r="AI26" i="44"/>
  <c r="AI27" i="44"/>
  <c r="AI28" i="44"/>
  <c r="AI29" i="44"/>
  <c r="AI24" i="44"/>
  <c r="AG6" i="44"/>
  <c r="AI6" i="44" s="1"/>
  <c r="AG7" i="44"/>
  <c r="AI7" i="44" s="1"/>
  <c r="AG18" i="44"/>
  <c r="AI18" i="44" s="1"/>
  <c r="AG25" i="44"/>
  <c r="AG4" i="44"/>
  <c r="AI4" i="44" s="1"/>
  <c r="AG14" i="44"/>
  <c r="AI14" i="44" s="1"/>
  <c r="AG24" i="44"/>
  <c r="AG29" i="44"/>
  <c r="AG30" i="44"/>
  <c r="AG31" i="44" s="1"/>
  <c r="AG20" i="44"/>
  <c r="AI20" i="44" s="1"/>
  <c r="AG26" i="44"/>
  <c r="AG27" i="44"/>
  <c r="AG28" i="44"/>
  <c r="AG16" i="44"/>
  <c r="AG19" i="44"/>
  <c r="AI19" i="44" s="1"/>
  <c r="AG17" i="44"/>
  <c r="AI17" i="44" s="1"/>
  <c r="AG15" i="44"/>
  <c r="AI15" i="44" s="1"/>
  <c r="AG5" i="44"/>
  <c r="AI5" i="44" s="1"/>
  <c r="AG8" i="44"/>
  <c r="AI8" i="44" s="1"/>
  <c r="AG9" i="44"/>
  <c r="AI9" i="44" s="1"/>
  <c r="AG10" i="44"/>
  <c r="AG21" i="44" l="1"/>
  <c r="AI21" i="44" s="1"/>
  <c r="AI16" i="44"/>
  <c r="AI10" i="44"/>
  <c r="AG11" i="44"/>
  <c r="AG22" i="44" l="1"/>
  <c r="AI33" i="44"/>
  <c r="AG12" i="44"/>
  <c r="AI11" i="44"/>
  <c r="AF12" i="44" l="1"/>
  <c r="AF31" i="44"/>
  <c r="AF22" i="44"/>
  <c r="AG6" i="45"/>
  <c r="AF33" i="44" l="1"/>
  <c r="AF35" i="44"/>
  <c r="D35" i="44" l="1"/>
  <c r="E35" i="44"/>
  <c r="F35" i="44"/>
  <c r="G35" i="44"/>
  <c r="H35" i="44"/>
  <c r="I35" i="44"/>
  <c r="J35" i="44"/>
  <c r="K35" i="44"/>
  <c r="L35" i="44"/>
  <c r="M35" i="44"/>
  <c r="N35" i="44"/>
  <c r="O35" i="44"/>
  <c r="P35" i="44"/>
  <c r="Q35" i="44"/>
  <c r="R35" i="44"/>
  <c r="S35" i="44"/>
  <c r="T35" i="44"/>
  <c r="U35" i="44"/>
  <c r="V35" i="44"/>
  <c r="W35" i="44"/>
  <c r="X35" i="44"/>
  <c r="Y35" i="44"/>
  <c r="Z35" i="44"/>
  <c r="AA35" i="44"/>
  <c r="AB35" i="44"/>
  <c r="AC35" i="44"/>
  <c r="AD35" i="44"/>
  <c r="AE35" i="44"/>
  <c r="AG3" i="45"/>
  <c r="AG4" i="45"/>
  <c r="AG5" i="45"/>
  <c r="AG2" i="45"/>
  <c r="AC31" i="44" l="1"/>
  <c r="AB31" i="44"/>
  <c r="Y31" i="44"/>
  <c r="X31" i="44"/>
  <c r="U31" i="44"/>
  <c r="T31" i="44"/>
  <c r="Q31" i="44"/>
  <c r="P31" i="44"/>
  <c r="M31" i="44"/>
  <c r="L31" i="44"/>
  <c r="I31" i="44"/>
  <c r="H31" i="44"/>
  <c r="E31" i="44"/>
  <c r="D31" i="44"/>
  <c r="AD22" i="44"/>
  <c r="K12" i="44"/>
  <c r="F33" i="44" l="1"/>
  <c r="N33" i="44"/>
  <c r="V33" i="44"/>
  <c r="AD33" i="44"/>
  <c r="O22" i="44"/>
  <c r="AE22" i="44"/>
  <c r="M22" i="44"/>
  <c r="AC22" i="44"/>
  <c r="G22" i="44"/>
  <c r="W22" i="44"/>
  <c r="E33" i="44"/>
  <c r="I33" i="44"/>
  <c r="M33" i="44"/>
  <c r="Q33" i="44"/>
  <c r="U33" i="44"/>
  <c r="Y33" i="44"/>
  <c r="AC33" i="44"/>
  <c r="E22" i="44"/>
  <c r="U22" i="44"/>
  <c r="E12" i="44"/>
  <c r="M12" i="44"/>
  <c r="U12" i="44"/>
  <c r="AC12" i="44"/>
  <c r="C12" i="44"/>
  <c r="S12" i="44"/>
  <c r="AA12" i="44"/>
  <c r="I12" i="44"/>
  <c r="Q12" i="44"/>
  <c r="Y12" i="44"/>
  <c r="C22" i="44"/>
  <c r="K22" i="44"/>
  <c r="S22" i="44"/>
  <c r="AA22" i="44"/>
  <c r="G12" i="44"/>
  <c r="O12" i="44"/>
  <c r="W12" i="44"/>
  <c r="AE12" i="44"/>
  <c r="I22" i="44"/>
  <c r="Q22" i="44"/>
  <c r="Y22" i="44"/>
  <c r="D12" i="44"/>
  <c r="H12" i="44"/>
  <c r="L12" i="44"/>
  <c r="P12" i="44"/>
  <c r="T12" i="44"/>
  <c r="X12" i="44"/>
  <c r="AB12" i="44"/>
  <c r="D22" i="44"/>
  <c r="H22" i="44"/>
  <c r="L22" i="44"/>
  <c r="P22" i="44"/>
  <c r="T22" i="44"/>
  <c r="X22" i="44"/>
  <c r="AB22" i="44"/>
  <c r="C31" i="44"/>
  <c r="G31" i="44"/>
  <c r="K31" i="44"/>
  <c r="O31" i="44"/>
  <c r="S31" i="44"/>
  <c r="W31" i="44"/>
  <c r="AA31" i="44"/>
  <c r="AE31" i="44"/>
  <c r="D33" i="44"/>
  <c r="H33" i="44"/>
  <c r="L33" i="44"/>
  <c r="P33" i="44"/>
  <c r="T33" i="44"/>
  <c r="X33" i="44"/>
  <c r="AB33" i="44"/>
  <c r="B31" i="44"/>
  <c r="F31" i="44"/>
  <c r="J31" i="44"/>
  <c r="N31" i="44"/>
  <c r="R31" i="44"/>
  <c r="V31" i="44"/>
  <c r="Z31" i="44"/>
  <c r="AD31" i="44"/>
  <c r="G33" i="44"/>
  <c r="K33" i="44"/>
  <c r="O33" i="44"/>
  <c r="S33" i="44"/>
  <c r="W33" i="44"/>
  <c r="AA33" i="44"/>
  <c r="AE33" i="44"/>
  <c r="B12" i="44"/>
  <c r="F12" i="44"/>
  <c r="J12" i="44"/>
  <c r="N12" i="44"/>
  <c r="R12" i="44"/>
  <c r="V12" i="44"/>
  <c r="Z12" i="44"/>
  <c r="AD12" i="44"/>
  <c r="B22" i="44"/>
  <c r="F22" i="44"/>
  <c r="J22" i="44"/>
  <c r="N22" i="44"/>
  <c r="R22" i="44"/>
  <c r="V22" i="44"/>
  <c r="Z22" i="44"/>
  <c r="J33" i="44"/>
  <c r="R33" i="44"/>
  <c r="Z33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AD37F292-230A-4279-9FAA-0DB976CADFF8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8793D1C4-8CA8-44FB-8FEC-474D75B98661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86CA8FEC-6B0E-4620-97C9-467C24AAE145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C9496DAE-B12A-49FA-842D-120EB32C5DAA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2190BAF1-CBCE-4A2F-8A25-10C855B884C6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748F8E19-F201-46DF-827C-80BB1E39B535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7C233B2B-F3F7-4F1A-B568-F2E268A375E9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D655EE66-338F-4B76-9C67-95FDD98DC575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0F7C858F-97B0-4162-8B62-8B3FC4DBA81F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9D76840D-DC94-49D8-BD93-E9F49FD82B11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1F0E1B7F-7479-467D-813B-CDAC1D3B837B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4F3F1A2D-76D2-4DBB-A0D2-8DF94D7E38E4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5BC72D17-9716-47FA-ACA3-14497F77BD01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8A46AF59-A583-40CA-8430-A8E6E19D0A2B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D27B4B5A-F99C-4684-AE8B-F4BFBCD8921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216B5FB3-BE6A-44E3-A600-A65614856117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2327AC2D-7B45-4297-BDF6-FC9817011CD4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03424BD3-4713-4806-A292-227BE3B43E0D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AF5C790C-43AF-4185-BDF9-9788B5A048F6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A6BBE0CB-170E-45FC-A364-46EBA7A5065B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874508D8-BFD6-43E1-8D07-6734555A3E3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51750766-D2A6-4774-B234-58FEFFD8AF01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00000000-0006-0000-0F00-000001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00000000-0006-0000-0F00-000002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87846097-0ACC-48C4-B12F-A30D60E96783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F334684A-82D8-4EC3-8D00-66842CD24E97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129A4271-78A6-4AC5-84FA-FF2CEF85E19C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83A1644E-0FE1-4C5C-B12D-2E1BEA86DF27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F905417A-789D-41CE-A8DA-E1DD034D3689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B3894EC0-3DEC-45E8-B2A1-3A441E9A722D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3E4E2D36-1F3A-415A-B46F-1C9DCFBEBCA2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C2085F01-3AC6-4595-AD68-DC046E7D2F92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B860E7A3-AB5E-4EDD-B351-4EE885A85E5D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8F635378-29F2-45DA-9AC5-81E17A6D7866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BCFE4666-B5B2-484C-9CB7-C96D1B4CAA59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DE97BC7A-0C70-4E90-B7A9-072437C1FEEA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00000000-0006-0000-1600-000001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00000000-0006-0000-1600-000002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619C69FD-24F6-41F5-AFB6-058E5AB3955E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150FB1C8-72FA-41F3-8A7E-33E201932ED5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DDA36DF2-8632-4524-BAE4-3651FF1E63A7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508FE5CE-9DCF-40AC-8023-3BABE54E398E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3D90AC1E-DD6F-4BCD-8D27-A622CBC9D609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EF2BD19B-3DD3-423E-B6D3-45C3672A8827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B12F3140-5CCC-499B-9613-4A2375B5EA15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328B966C-D255-4820-9410-7FA634BA5AC5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33D03EC0-ABB3-467A-BC19-1FA69A6FCC24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6165F241-41A8-4990-B696-E99442C0391A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BDEF6E2D-0098-4C04-B6C1-9E99608960CA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F9E0C1C9-DD92-454B-9193-0FB08A4709AC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00000000-0006-0000-1D00-000001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00000000-0006-0000-1D00-000002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0F83062C-A67D-451D-A0F6-954F287ADC96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23F1E69A-7D9B-4749-9B15-CC955809066B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7787645E-1332-410B-91D2-C40B7FF273FB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40F4C07A-5982-40EC-99D8-76AA356308B9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8B2DF117-FA52-41BA-967C-1691B83DE419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D2D2CD9B-557C-407B-AD7D-C55169807C5E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00000000-0006-0000-2100-000001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  <comment ref="P1" authorId="0" shapeId="0" xr:uid="{00000000-0006-0000-2100-000002000000}">
      <text>
        <r>
          <rPr>
            <b/>
            <sz val="9"/>
            <color indexed="81"/>
            <rFont val="Tahoma"/>
            <family val="2"/>
            <charset val="204"/>
          </rPr>
          <t>User: Качество изделия</t>
        </r>
        <r>
          <rPr>
            <sz val="9"/>
            <color indexed="81"/>
            <rFont val="Tahoma"/>
            <family val="2"/>
            <charset val="204"/>
          </rPr>
          <t xml:space="preserve">
1 - стандарт (С)
2 - каверна (К)
3 - пузыри (П)
4 - замятие (З)
5 - геометрия (Г)
6 - трещина (Т)
7 - недолив (Н)
8 - эксперимент (Э)</t>
        </r>
      </text>
    </comment>
  </commentList>
</comments>
</file>

<file path=xl/sharedStrings.xml><?xml version="1.0" encoding="utf-8"?>
<sst xmlns="http://schemas.openxmlformats.org/spreadsheetml/2006/main" count="1231" uniqueCount="65">
  <si>
    <t>№ стола</t>
  </si>
  <si>
    <t>№ формы</t>
  </si>
  <si>
    <t>Качество</t>
  </si>
  <si>
    <t>Количество заливок</t>
  </si>
  <si>
    <t>Количество по Качеству:</t>
  </si>
  <si>
    <t>Хорошее</t>
  </si>
  <si>
    <t>Каверна</t>
  </si>
  <si>
    <t>Пузыри</t>
  </si>
  <si>
    <t>Замятие</t>
  </si>
  <si>
    <t>№ формы 1210</t>
  </si>
  <si>
    <t>№ формы 1540</t>
  </si>
  <si>
    <t>Изд. 1210</t>
  </si>
  <si>
    <t>ФИО Заливщика</t>
  </si>
  <si>
    <t>ФИО Зачистка форм</t>
  </si>
  <si>
    <t>Изд. 1540</t>
  </si>
  <si>
    <t>Геометрия</t>
  </si>
  <si>
    <t>ФИО на БСУ</t>
  </si>
  <si>
    <t>К зачистка</t>
  </si>
  <si>
    <t>ЗП зачистка</t>
  </si>
  <si>
    <t>К заливщик</t>
  </si>
  <si>
    <t>ЗП заливщик</t>
  </si>
  <si>
    <t>К БСУ</t>
  </si>
  <si>
    <t>ЗП БСУ</t>
  </si>
  <si>
    <t>Стандарт</t>
  </si>
  <si>
    <t>Трещина</t>
  </si>
  <si>
    <t>Недолив</t>
  </si>
  <si>
    <t>Эксперимент</t>
  </si>
  <si>
    <t>Дата</t>
  </si>
  <si>
    <t>Изделие</t>
  </si>
  <si>
    <t>стандарт</t>
  </si>
  <si>
    <t>ИТОГО БРАК</t>
  </si>
  <si>
    <t>ИТОГО % БРАК</t>
  </si>
  <si>
    <t>ИТОГО % БРАК ОБЩИЙ</t>
  </si>
  <si>
    <t>ФИО/день</t>
  </si>
  <si>
    <t>ИТОГО</t>
  </si>
  <si>
    <t>Ставка руб/изд</t>
  </si>
  <si>
    <t>Зачистка форм</t>
  </si>
  <si>
    <t>Заливщик</t>
  </si>
  <si>
    <t>БСУ</t>
  </si>
  <si>
    <t>Эрматова</t>
  </si>
  <si>
    <t>Чилонбоев</t>
  </si>
  <si>
    <t>Мамажонов</t>
  </si>
  <si>
    <t>Шамшиев</t>
  </si>
  <si>
    <t>ИТОГО недолив ОБЩИЙ</t>
  </si>
  <si>
    <t>ИТОГО  % невозвр. БРАК</t>
  </si>
  <si>
    <t>День:</t>
  </si>
  <si>
    <t>пузыри</t>
  </si>
  <si>
    <t>замятие</t>
  </si>
  <si>
    <t>трещины</t>
  </si>
  <si>
    <t>форма</t>
  </si>
  <si>
    <t>брак заливщика</t>
  </si>
  <si>
    <t>Уморов</t>
  </si>
  <si>
    <t>ФИО\Дата</t>
  </si>
  <si>
    <t>Форма</t>
  </si>
  <si>
    <t>ЗП</t>
  </si>
  <si>
    <t>количество</t>
  </si>
  <si>
    <t>КЗ</t>
  </si>
  <si>
    <t>К-1</t>
  </si>
  <si>
    <t>К0</t>
  </si>
  <si>
    <t>К1</t>
  </si>
  <si>
    <t>Коп</t>
  </si>
  <si>
    <t>каверна</t>
  </si>
  <si>
    <t>k</t>
  </si>
  <si>
    <t>ИТОГ</t>
  </si>
  <si>
    <t>ИТОГ, пм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</si>
</sst>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8"/>
      <name val="Calibri"/>
      <family val="2"/>
      <charset val="204"/>
    </font>
    <font>
      <sz val="8"/>
      <color indexed="10"/>
      <name val="Calibri"/>
      <family val="2"/>
      <charset val="204"/>
    </font>
    <font>
      <sz val="11"/>
      <color indexed="1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B05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2" xfId="0" applyBorder="1" applyAlignment="1"/>
    <xf numFmtId="0" fontId="0" fillId="0" borderId="3" xfId="0" applyBorder="1" applyAlignment="1"/>
    <xf numFmtId="0" fontId="0" fillId="0" borderId="0" xfId="0" applyBorder="1" applyAlignment="1">
      <alignment horizontal="center"/>
    </xf>
    <xf numFmtId="0" fontId="0" fillId="0" borderId="2" xfId="0" applyBorder="1"/>
    <xf numFmtId="0" fontId="0" fillId="0" borderId="0" xfId="0" applyBorder="1" applyAlignment="1"/>
    <xf numFmtId="0" fontId="5" fillId="0" borderId="1" xfId="0" applyFont="1" applyBorder="1"/>
    <xf numFmtId="0" fontId="4" fillId="2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wrapText="1"/>
    </xf>
    <xf numFmtId="0" fontId="6" fillId="0" borderId="5" xfId="0" applyFont="1" applyBorder="1"/>
    <xf numFmtId="0" fontId="6" fillId="0" borderId="0" xfId="0" applyFont="1"/>
    <xf numFmtId="0" fontId="6" fillId="0" borderId="8" xfId="0" applyFont="1" applyBorder="1"/>
    <xf numFmtId="0" fontId="6" fillId="0" borderId="11" xfId="0" applyFont="1" applyBorder="1"/>
    <xf numFmtId="0" fontId="6" fillId="0" borderId="12" xfId="0" applyFont="1" applyBorder="1"/>
    <xf numFmtId="0" fontId="0" fillId="3" borderId="1" xfId="0" applyFill="1" applyBorder="1"/>
    <xf numFmtId="0" fontId="0" fillId="4" borderId="1" xfId="0" applyFill="1" applyBorder="1"/>
    <xf numFmtId="0" fontId="6" fillId="3" borderId="15" xfId="0" applyFont="1" applyFill="1" applyBorder="1"/>
    <xf numFmtId="0" fontId="6" fillId="0" borderId="1" xfId="0" applyFont="1" applyBorder="1"/>
    <xf numFmtId="0" fontId="0" fillId="0" borderId="16" xfId="0" applyBorder="1"/>
    <xf numFmtId="0" fontId="6" fillId="0" borderId="17" xfId="0" applyFont="1" applyBorder="1"/>
    <xf numFmtId="0" fontId="6" fillId="0" borderId="18" xfId="0" applyFont="1" applyBorder="1"/>
    <xf numFmtId="0" fontId="6" fillId="5" borderId="8" xfId="0" applyFont="1" applyFill="1" applyBorder="1"/>
    <xf numFmtId="0" fontId="6" fillId="5" borderId="5" xfId="0" applyFont="1" applyFill="1" applyBorder="1"/>
    <xf numFmtId="0" fontId="6" fillId="5" borderId="11" xfId="0" applyFont="1" applyFill="1" applyBorder="1"/>
    <xf numFmtId="0" fontId="6" fillId="0" borderId="19" xfId="0" applyFont="1" applyBorder="1"/>
    <xf numFmtId="0" fontId="6" fillId="5" borderId="1" xfId="0" applyFont="1" applyFill="1" applyBorder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9" fillId="0" borderId="1" xfId="0" applyFont="1" applyBorder="1"/>
    <xf numFmtId="0" fontId="6" fillId="0" borderId="9" xfId="0" applyFont="1" applyBorder="1"/>
    <xf numFmtId="0" fontId="6" fillId="3" borderId="11" xfId="0" applyFont="1" applyFill="1" applyBorder="1"/>
    <xf numFmtId="0" fontId="6" fillId="3" borderId="8" xfId="0" applyFont="1" applyFill="1" applyBorder="1"/>
    <xf numFmtId="0" fontId="6" fillId="0" borderId="20" xfId="0" applyFont="1" applyBorder="1"/>
    <xf numFmtId="0" fontId="6" fillId="0" borderId="22" xfId="0" applyFont="1" applyBorder="1"/>
    <xf numFmtId="0" fontId="6" fillId="0" borderId="21" xfId="0" applyFont="1" applyBorder="1"/>
    <xf numFmtId="0" fontId="7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0" fontId="6" fillId="0" borderId="26" xfId="0" applyFont="1" applyBorder="1"/>
    <xf numFmtId="0" fontId="6" fillId="0" borderId="13" xfId="0" applyFont="1" applyBorder="1"/>
    <xf numFmtId="0" fontId="6" fillId="0" borderId="14" xfId="0" applyFont="1" applyBorder="1"/>
    <xf numFmtId="0" fontId="6" fillId="0" borderId="25" xfId="0" applyFont="1" applyBorder="1"/>
    <xf numFmtId="0" fontId="6" fillId="0" borderId="1" xfId="0" applyFont="1" applyBorder="1" applyAlignment="1">
      <alignment horizontal="center"/>
    </xf>
    <xf numFmtId="0" fontId="6" fillId="0" borderId="2" xfId="0" applyFont="1" applyBorder="1"/>
    <xf numFmtId="0" fontId="6" fillId="0" borderId="28" xfId="0" applyFont="1" applyBorder="1"/>
    <xf numFmtId="0" fontId="6" fillId="0" borderId="29" xfId="0" applyFont="1" applyBorder="1"/>
    <xf numFmtId="0" fontId="6" fillId="0" borderId="0" xfId="0" applyFont="1" applyBorder="1"/>
    <xf numFmtId="0" fontId="7" fillId="0" borderId="13" xfId="0" applyFont="1" applyBorder="1"/>
    <xf numFmtId="0" fontId="6" fillId="5" borderId="14" xfId="0" applyFont="1" applyFill="1" applyBorder="1"/>
    <xf numFmtId="0" fontId="6" fillId="0" borderId="23" xfId="0" applyFont="1" applyBorder="1"/>
    <xf numFmtId="0" fontId="6" fillId="0" borderId="30" xfId="0" applyFont="1" applyBorder="1"/>
    <xf numFmtId="0" fontId="6" fillId="5" borderId="30" xfId="0" applyFont="1" applyFill="1" applyBorder="1"/>
    <xf numFmtId="0" fontId="6" fillId="0" borderId="31" xfId="0" applyFont="1" applyBorder="1"/>
    <xf numFmtId="0" fontId="6" fillId="0" borderId="10" xfId="0" applyFont="1" applyBorder="1"/>
    <xf numFmtId="0" fontId="6" fillId="5" borderId="10" xfId="0" applyFont="1" applyFill="1" applyBorder="1"/>
    <xf numFmtId="0" fontId="6" fillId="0" borderId="4" xfId="0" applyFont="1" applyBorder="1"/>
    <xf numFmtId="0" fontId="0" fillId="0" borderId="1" xfId="0" applyBorder="1" applyAlignment="1">
      <alignment horizontal="center"/>
    </xf>
    <xf numFmtId="0" fontId="6" fillId="5" borderId="7" xfId="0" applyFont="1" applyFill="1" applyBorder="1" applyAlignment="1">
      <alignment horizontal="center" vertical="top"/>
    </xf>
    <xf numFmtId="0" fontId="6" fillId="5" borderId="24" xfId="0" applyFont="1" applyFill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30" xfId="0" applyFont="1" applyBorder="1" applyAlignment="1">
      <alignment horizontal="center" vertical="top"/>
    </xf>
    <xf numFmtId="0" fontId="6" fillId="0" borderId="7" xfId="0" applyFont="1" applyBorder="1" applyAlignment="1">
      <alignment horizontal="center" vertical="top"/>
    </xf>
    <xf numFmtId="0" fontId="6" fillId="0" borderId="24" xfId="0" applyFont="1" applyBorder="1" applyAlignment="1">
      <alignment horizontal="center" vertical="top"/>
    </xf>
    <xf numFmtId="0" fontId="6" fillId="0" borderId="27" xfId="0" applyFont="1" applyBorder="1" applyAlignment="1">
      <alignment horizontal="center" vertical="top"/>
    </xf>
    <xf numFmtId="0" fontId="6" fillId="0" borderId="28" xfId="0" applyFont="1" applyBorder="1" applyAlignment="1">
      <alignment horizontal="center" vertical="top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28575</xdr:colOff>
          <xdr:row>2</xdr:row>
          <xdr:rowOff>161925</xdr:rowOff>
        </xdr:from>
        <xdr:to>
          <xdr:col>45</xdr:col>
          <xdr:colOff>57150</xdr:colOff>
          <xdr:row>6</xdr:row>
          <xdr:rowOff>9525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</xdr:row>
      <xdr:rowOff>57150</xdr:rowOff>
    </xdr:from>
    <xdr:to>
      <xdr:col>3</xdr:col>
      <xdr:colOff>723901</xdr:colOff>
      <xdr:row>6</xdr:row>
      <xdr:rowOff>142875</xdr:rowOff>
    </xdr:to>
    <xdr:sp macro="[0]!автозаполнение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609601" y="438150"/>
          <a:ext cx="1828800" cy="84772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Автозаполнение Чилонбоев,</a:t>
          </a:r>
          <a:r>
            <a:rPr lang="ru-RU" sz="1100" baseline="0"/>
            <a:t> Мамажонов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GS54"/>
  <sheetViews>
    <sheetView zoomScaleNormal="100" workbookViewId="0">
      <selection activeCell="AD5" sqref="AD5"/>
    </sheetView>
  </sheetViews>
  <sheetFormatPr defaultColWidth="3.42578125" defaultRowHeight="15" x14ac:dyDescent="0.25"/>
  <cols>
    <col min="1" max="1" width="23.7109375" bestFit="1" customWidth="1"/>
    <col min="2" max="2" width="4.42578125" customWidth="1"/>
    <col min="3" max="4" width="4.5703125" customWidth="1"/>
    <col min="5" max="5" width="4.42578125" customWidth="1"/>
    <col min="101" max="201" width="4" bestFit="1" customWidth="1"/>
  </cols>
  <sheetData>
    <row r="1" spans="1:201" x14ac:dyDescent="0.25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3"/>
      <c r="M1" s="3"/>
    </row>
    <row r="2" spans="1:201" x14ac:dyDescent="0.25">
      <c r="A2" s="23" t="s">
        <v>3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3"/>
      <c r="M2" s="3"/>
    </row>
    <row r="3" spans="1:201" x14ac:dyDescent="0.25">
      <c r="A3" s="7" t="s">
        <v>4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201" x14ac:dyDescent="0.25">
      <c r="A4" s="22" t="s">
        <v>23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6"/>
      <c r="M4" s="6"/>
    </row>
    <row r="5" spans="1:201" x14ac:dyDescent="0.25">
      <c r="A5" s="22" t="s">
        <v>6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6"/>
      <c r="M5" s="6"/>
    </row>
    <row r="6" spans="1:201" x14ac:dyDescent="0.25">
      <c r="A6" s="22" t="s">
        <v>7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6"/>
      <c r="M6" s="6"/>
    </row>
    <row r="7" spans="1:201" x14ac:dyDescent="0.25">
      <c r="A7" s="1" t="s">
        <v>8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3"/>
      <c r="M7" s="3"/>
    </row>
    <row r="8" spans="1:201" x14ac:dyDescent="0.25">
      <c r="A8" s="1" t="s">
        <v>15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3"/>
      <c r="M8" s="3"/>
    </row>
    <row r="9" spans="1:201" x14ac:dyDescent="0.25">
      <c r="A9" s="1" t="s">
        <v>24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3"/>
      <c r="M9" s="3"/>
    </row>
    <row r="10" spans="1:201" x14ac:dyDescent="0.25">
      <c r="A10" s="1" t="s">
        <v>25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3"/>
      <c r="M10" s="3"/>
    </row>
    <row r="11" spans="1:201" x14ac:dyDescent="0.25">
      <c r="A11" s="1" t="s">
        <v>26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3"/>
      <c r="M11" s="3"/>
    </row>
    <row r="12" spans="1:201" s="3" customFormat="1" x14ac:dyDescent="0.25"/>
    <row r="13" spans="1:201" x14ac:dyDescent="0.25">
      <c r="A13" s="9" t="s">
        <v>9</v>
      </c>
      <c r="B13" s="1">
        <v>1</v>
      </c>
      <c r="C13" s="1">
        <v>2</v>
      </c>
      <c r="D13" s="1">
        <v>3</v>
      </c>
      <c r="E13" s="1">
        <v>4</v>
      </c>
      <c r="F13" s="1">
        <v>5</v>
      </c>
      <c r="G13" s="1">
        <v>6</v>
      </c>
      <c r="H13" s="1">
        <v>7</v>
      </c>
      <c r="I13" s="1">
        <v>8</v>
      </c>
      <c r="J13" s="1">
        <v>9</v>
      </c>
      <c r="K13" s="1">
        <v>10</v>
      </c>
      <c r="L13" s="1">
        <v>11</v>
      </c>
      <c r="M13" s="1">
        <v>12</v>
      </c>
      <c r="N13" s="1">
        <v>13</v>
      </c>
      <c r="O13" s="1">
        <v>14</v>
      </c>
      <c r="P13" s="1">
        <v>15</v>
      </c>
      <c r="Q13" s="1">
        <v>16</v>
      </c>
      <c r="R13" s="1">
        <v>17</v>
      </c>
      <c r="S13" s="1">
        <v>18</v>
      </c>
      <c r="T13" s="1">
        <v>19</v>
      </c>
      <c r="U13" s="1">
        <v>20</v>
      </c>
      <c r="V13" s="1">
        <v>21</v>
      </c>
      <c r="W13" s="1">
        <v>22</v>
      </c>
      <c r="X13" s="1">
        <v>23</v>
      </c>
      <c r="Y13" s="1">
        <v>24</v>
      </c>
      <c r="Z13" s="1">
        <v>25</v>
      </c>
      <c r="AA13" s="1">
        <v>26</v>
      </c>
      <c r="AB13" s="1">
        <v>27</v>
      </c>
      <c r="AC13" s="1">
        <v>28</v>
      </c>
      <c r="AD13" s="1">
        <v>29</v>
      </c>
      <c r="AE13" s="1">
        <v>30</v>
      </c>
      <c r="AF13" s="1">
        <v>31</v>
      </c>
      <c r="AG13" s="1">
        <v>32</v>
      </c>
      <c r="AH13" s="1">
        <v>33</v>
      </c>
      <c r="AI13" s="1">
        <v>34</v>
      </c>
      <c r="AJ13" s="1">
        <v>35</v>
      </c>
      <c r="AK13" s="1">
        <v>36</v>
      </c>
      <c r="AL13" s="1">
        <v>37</v>
      </c>
      <c r="AM13" s="1">
        <v>38</v>
      </c>
      <c r="AN13" s="1">
        <v>39</v>
      </c>
      <c r="AO13" s="1">
        <v>40</v>
      </c>
      <c r="AP13" s="1">
        <v>41</v>
      </c>
      <c r="AQ13" s="1">
        <v>42</v>
      </c>
      <c r="AR13" s="1">
        <v>43</v>
      </c>
      <c r="AS13" s="1">
        <v>44</v>
      </c>
      <c r="AT13" s="1">
        <v>45</v>
      </c>
      <c r="AU13" s="1">
        <v>46</v>
      </c>
      <c r="AV13" s="1">
        <v>47</v>
      </c>
      <c r="AW13" s="1">
        <v>48</v>
      </c>
      <c r="AX13" s="1">
        <v>49</v>
      </c>
      <c r="AY13" s="1">
        <v>50</v>
      </c>
      <c r="AZ13" s="1">
        <v>51</v>
      </c>
      <c r="BA13" s="1">
        <v>52</v>
      </c>
      <c r="BB13" s="1">
        <v>53</v>
      </c>
      <c r="BC13" s="1">
        <v>54</v>
      </c>
      <c r="BD13" s="1">
        <v>55</v>
      </c>
      <c r="BE13" s="1">
        <v>56</v>
      </c>
      <c r="BF13" s="1">
        <v>57</v>
      </c>
      <c r="BG13" s="1">
        <v>58</v>
      </c>
      <c r="BH13" s="1">
        <v>59</v>
      </c>
      <c r="BI13" s="1">
        <v>60</v>
      </c>
      <c r="BJ13" s="1">
        <v>61</v>
      </c>
      <c r="BK13" s="1">
        <v>62</v>
      </c>
      <c r="BL13" s="1">
        <v>63</v>
      </c>
      <c r="BM13" s="1">
        <v>64</v>
      </c>
      <c r="BN13" s="1">
        <v>65</v>
      </c>
      <c r="BO13" s="1">
        <v>66</v>
      </c>
      <c r="BP13" s="1">
        <v>67</v>
      </c>
      <c r="BQ13" s="1">
        <v>68</v>
      </c>
      <c r="BR13" s="1">
        <v>69</v>
      </c>
      <c r="BS13" s="1">
        <v>70</v>
      </c>
      <c r="BT13" s="1">
        <v>71</v>
      </c>
      <c r="BU13" s="1">
        <v>72</v>
      </c>
      <c r="BV13" s="1">
        <v>73</v>
      </c>
      <c r="BW13" s="1">
        <v>74</v>
      </c>
      <c r="BX13" s="1">
        <v>75</v>
      </c>
      <c r="BY13" s="1">
        <v>76</v>
      </c>
      <c r="BZ13" s="1">
        <v>77</v>
      </c>
      <c r="CA13" s="1">
        <v>78</v>
      </c>
      <c r="CB13" s="1">
        <v>79</v>
      </c>
      <c r="CC13" s="1">
        <v>80</v>
      </c>
      <c r="CD13" s="1">
        <v>81</v>
      </c>
      <c r="CE13" s="1">
        <v>82</v>
      </c>
      <c r="CF13" s="1">
        <v>83</v>
      </c>
      <c r="CG13" s="1">
        <v>84</v>
      </c>
      <c r="CH13" s="1">
        <v>85</v>
      </c>
      <c r="CI13" s="1">
        <v>86</v>
      </c>
      <c r="CJ13" s="1">
        <v>87</v>
      </c>
      <c r="CK13" s="1">
        <v>88</v>
      </c>
      <c r="CL13" s="1">
        <v>89</v>
      </c>
      <c r="CM13" s="1">
        <v>90</v>
      </c>
      <c r="CN13" s="1">
        <v>91</v>
      </c>
      <c r="CO13" s="1">
        <v>92</v>
      </c>
      <c r="CP13" s="1">
        <v>93</v>
      </c>
      <c r="CQ13" s="1">
        <v>94</v>
      </c>
      <c r="CR13" s="1">
        <v>95</v>
      </c>
      <c r="CS13" s="1">
        <v>96</v>
      </c>
      <c r="CT13" s="1">
        <v>97</v>
      </c>
      <c r="CU13" s="1">
        <v>98</v>
      </c>
      <c r="CV13" s="1">
        <v>99</v>
      </c>
      <c r="CW13" s="1">
        <v>100</v>
      </c>
      <c r="CX13" s="1">
        <v>101</v>
      </c>
      <c r="CY13" s="1">
        <v>102</v>
      </c>
      <c r="CZ13" s="1">
        <v>103</v>
      </c>
      <c r="DA13" s="1">
        <v>104</v>
      </c>
      <c r="DB13" s="1">
        <v>105</v>
      </c>
      <c r="DC13" s="1">
        <v>106</v>
      </c>
      <c r="DD13" s="1">
        <v>107</v>
      </c>
      <c r="DE13" s="1">
        <v>108</v>
      </c>
      <c r="DF13" s="1">
        <v>109</v>
      </c>
      <c r="DG13" s="1">
        <v>110</v>
      </c>
      <c r="DH13" s="1">
        <v>111</v>
      </c>
      <c r="DI13" s="1">
        <v>112</v>
      </c>
      <c r="DJ13" s="1">
        <v>113</v>
      </c>
      <c r="DK13" s="1">
        <v>114</v>
      </c>
      <c r="DL13" s="1">
        <v>115</v>
      </c>
      <c r="DM13" s="1">
        <v>116</v>
      </c>
      <c r="DN13" s="1">
        <v>117</v>
      </c>
      <c r="DO13" s="1">
        <v>118</v>
      </c>
      <c r="DP13" s="1">
        <v>119</v>
      </c>
      <c r="DQ13" s="1">
        <v>120</v>
      </c>
      <c r="DR13" s="1">
        <v>121</v>
      </c>
      <c r="DS13" s="1">
        <v>122</v>
      </c>
      <c r="DT13" s="1">
        <v>123</v>
      </c>
      <c r="DU13" s="1">
        <v>124</v>
      </c>
      <c r="DV13" s="1">
        <v>125</v>
      </c>
      <c r="DW13" s="1">
        <v>126</v>
      </c>
      <c r="DX13" s="1">
        <v>127</v>
      </c>
      <c r="DY13" s="1">
        <v>128</v>
      </c>
      <c r="DZ13" s="1">
        <v>129</v>
      </c>
      <c r="EA13" s="1">
        <v>130</v>
      </c>
      <c r="EB13" s="1">
        <v>131</v>
      </c>
      <c r="EC13" s="1">
        <v>132</v>
      </c>
      <c r="ED13" s="1">
        <v>133</v>
      </c>
      <c r="EE13" s="1">
        <v>134</v>
      </c>
      <c r="EF13" s="1">
        <v>135</v>
      </c>
      <c r="EG13" s="1">
        <v>136</v>
      </c>
      <c r="EH13" s="1">
        <v>137</v>
      </c>
      <c r="EI13" s="1">
        <v>138</v>
      </c>
      <c r="EJ13" s="1">
        <v>139</v>
      </c>
      <c r="EK13" s="1">
        <v>140</v>
      </c>
      <c r="EL13" s="1">
        <v>141</v>
      </c>
      <c r="EM13" s="1">
        <v>142</v>
      </c>
      <c r="EN13" s="1">
        <v>143</v>
      </c>
      <c r="EO13" s="1">
        <v>144</v>
      </c>
      <c r="EP13" s="1">
        <v>145</v>
      </c>
      <c r="EQ13" s="1">
        <v>146</v>
      </c>
      <c r="ER13" s="1">
        <v>147</v>
      </c>
      <c r="ES13" s="1">
        <v>148</v>
      </c>
      <c r="ET13" s="1">
        <v>149</v>
      </c>
      <c r="EU13" s="1">
        <v>150</v>
      </c>
      <c r="EV13" s="1">
        <v>151</v>
      </c>
      <c r="EW13" s="1">
        <v>152</v>
      </c>
      <c r="EX13" s="1">
        <v>153</v>
      </c>
      <c r="EY13" s="1">
        <v>154</v>
      </c>
      <c r="EZ13" s="1">
        <v>155</v>
      </c>
      <c r="FA13" s="1">
        <v>156</v>
      </c>
      <c r="FB13" s="1">
        <v>157</v>
      </c>
      <c r="FC13" s="1">
        <v>158</v>
      </c>
      <c r="FD13" s="1">
        <v>159</v>
      </c>
      <c r="FE13" s="1">
        <v>160</v>
      </c>
      <c r="FF13" s="1">
        <v>161</v>
      </c>
      <c r="FG13" s="1">
        <v>162</v>
      </c>
      <c r="FH13" s="1">
        <v>163</v>
      </c>
      <c r="FI13" s="1">
        <v>164</v>
      </c>
      <c r="FJ13" s="1">
        <v>165</v>
      </c>
      <c r="FK13" s="1">
        <v>166</v>
      </c>
      <c r="FL13" s="1">
        <v>167</v>
      </c>
      <c r="FM13" s="1">
        <v>168</v>
      </c>
      <c r="FN13" s="1">
        <v>169</v>
      </c>
      <c r="FO13" s="1">
        <v>170</v>
      </c>
      <c r="FP13" s="1">
        <v>171</v>
      </c>
      <c r="FQ13" s="1">
        <v>172</v>
      </c>
      <c r="FR13" s="1">
        <v>173</v>
      </c>
      <c r="FS13" s="1">
        <v>174</v>
      </c>
      <c r="FT13" s="1">
        <v>175</v>
      </c>
      <c r="FU13" s="1">
        <v>176</v>
      </c>
      <c r="FV13" s="1">
        <v>177</v>
      </c>
      <c r="FW13" s="1">
        <v>178</v>
      </c>
      <c r="FX13" s="1">
        <v>179</v>
      </c>
      <c r="FY13" s="1">
        <v>180</v>
      </c>
      <c r="FZ13" s="1">
        <v>181</v>
      </c>
      <c r="GA13" s="1">
        <v>182</v>
      </c>
      <c r="GB13" s="1">
        <v>183</v>
      </c>
      <c r="GC13" s="1">
        <v>184</v>
      </c>
      <c r="GD13" s="1">
        <v>185</v>
      </c>
      <c r="GE13" s="1">
        <v>186</v>
      </c>
      <c r="GF13" s="1">
        <v>187</v>
      </c>
      <c r="GG13" s="1">
        <v>188</v>
      </c>
      <c r="GH13" s="1">
        <v>189</v>
      </c>
      <c r="GI13" s="1">
        <v>190</v>
      </c>
      <c r="GJ13" s="1">
        <v>191</v>
      </c>
      <c r="GK13" s="1">
        <v>192</v>
      </c>
      <c r="GL13" s="1">
        <v>193</v>
      </c>
      <c r="GM13" s="1">
        <v>194</v>
      </c>
      <c r="GN13" s="1">
        <v>195</v>
      </c>
      <c r="GO13" s="1">
        <v>196</v>
      </c>
      <c r="GP13" s="1">
        <v>197</v>
      </c>
      <c r="GQ13" s="1">
        <v>198</v>
      </c>
      <c r="GR13" s="1">
        <v>199</v>
      </c>
      <c r="GS13" s="1">
        <v>200</v>
      </c>
    </row>
    <row r="14" spans="1:201" x14ac:dyDescent="0.25">
      <c r="A14" s="23" t="s">
        <v>3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  <c r="FM14" s="1">
        <v>0</v>
      </c>
      <c r="FN14" s="1">
        <v>0</v>
      </c>
      <c r="FO14" s="1">
        <v>0</v>
      </c>
      <c r="FP14" s="1">
        <v>0</v>
      </c>
      <c r="FQ14" s="1">
        <v>0</v>
      </c>
      <c r="FR14" s="1">
        <v>0</v>
      </c>
      <c r="FS14" s="1">
        <v>0</v>
      </c>
      <c r="FT14" s="1">
        <v>0</v>
      </c>
      <c r="FU14" s="1">
        <v>0</v>
      </c>
      <c r="FV14" s="1">
        <v>0</v>
      </c>
      <c r="FW14" s="1">
        <v>0</v>
      </c>
      <c r="FX14" s="1">
        <v>0</v>
      </c>
      <c r="FY14" s="1">
        <v>0</v>
      </c>
      <c r="FZ14" s="1">
        <v>0</v>
      </c>
      <c r="GA14" s="1">
        <v>0</v>
      </c>
      <c r="GB14" s="1">
        <v>0</v>
      </c>
      <c r="GC14" s="1">
        <v>0</v>
      </c>
      <c r="GD14" s="1">
        <v>0</v>
      </c>
      <c r="GE14" s="1">
        <v>0</v>
      </c>
      <c r="GF14" s="1">
        <v>0</v>
      </c>
      <c r="GG14" s="1">
        <v>0</v>
      </c>
      <c r="GH14" s="1">
        <v>0</v>
      </c>
      <c r="GI14" s="1">
        <v>0</v>
      </c>
      <c r="GJ14" s="1">
        <v>0</v>
      </c>
      <c r="GK14" s="1">
        <v>0</v>
      </c>
      <c r="GL14" s="1">
        <v>0</v>
      </c>
      <c r="GM14" s="1">
        <v>0</v>
      </c>
      <c r="GN14" s="1">
        <v>0</v>
      </c>
      <c r="GO14" s="1">
        <v>0</v>
      </c>
      <c r="GP14" s="1">
        <v>0</v>
      </c>
      <c r="GQ14" s="1">
        <v>0</v>
      </c>
      <c r="GR14" s="1">
        <v>0</v>
      </c>
      <c r="GS14" s="1">
        <v>0</v>
      </c>
    </row>
    <row r="15" spans="1:201" x14ac:dyDescent="0.25">
      <c r="A15" s="1" t="s">
        <v>4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</row>
    <row r="16" spans="1:201" x14ac:dyDescent="0.25">
      <c r="A16" s="1" t="s">
        <v>5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0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2">
        <v>0</v>
      </c>
      <c r="CC16" s="2">
        <v>0</v>
      </c>
      <c r="CD16" s="2">
        <v>0</v>
      </c>
      <c r="CE16" s="2">
        <v>0</v>
      </c>
      <c r="CF16" s="2">
        <v>0</v>
      </c>
      <c r="CG16" s="2">
        <v>0</v>
      </c>
      <c r="CH16" s="2">
        <v>0</v>
      </c>
      <c r="CI16" s="2">
        <v>0</v>
      </c>
      <c r="CJ16" s="2">
        <v>0</v>
      </c>
      <c r="CK16" s="2">
        <v>0</v>
      </c>
      <c r="CL16" s="2">
        <v>0</v>
      </c>
      <c r="CM16" s="2">
        <v>0</v>
      </c>
      <c r="CN16" s="2">
        <v>0</v>
      </c>
      <c r="CO16" s="2">
        <v>0</v>
      </c>
      <c r="CP16" s="2">
        <v>0</v>
      </c>
      <c r="CQ16" s="2">
        <v>0</v>
      </c>
      <c r="CR16" s="2">
        <v>0</v>
      </c>
      <c r="CS16" s="2">
        <v>0</v>
      </c>
      <c r="CT16" s="2">
        <v>0</v>
      </c>
      <c r="CU16" s="2">
        <v>0</v>
      </c>
      <c r="CV16" s="2">
        <v>0</v>
      </c>
      <c r="CW16" s="2">
        <v>0</v>
      </c>
      <c r="CX16" s="2">
        <v>0</v>
      </c>
      <c r="CY16" s="2">
        <v>0</v>
      </c>
      <c r="CZ16" s="2">
        <v>0</v>
      </c>
      <c r="DA16" s="2">
        <v>0</v>
      </c>
      <c r="DB16" s="2">
        <v>0</v>
      </c>
      <c r="DC16" s="2">
        <v>0</v>
      </c>
      <c r="DD16" s="2">
        <v>0</v>
      </c>
      <c r="DE16" s="2">
        <v>0</v>
      </c>
      <c r="DF16" s="2">
        <v>0</v>
      </c>
      <c r="DG16" s="2">
        <v>0</v>
      </c>
      <c r="DH16" s="2">
        <v>0</v>
      </c>
      <c r="DI16" s="2">
        <v>0</v>
      </c>
      <c r="DJ16" s="2">
        <v>0</v>
      </c>
      <c r="DK16" s="2">
        <v>0</v>
      </c>
      <c r="DL16" s="2">
        <v>0</v>
      </c>
      <c r="DM16" s="2">
        <v>0</v>
      </c>
      <c r="DN16" s="2">
        <v>0</v>
      </c>
      <c r="DO16" s="2">
        <v>0</v>
      </c>
      <c r="DP16" s="2">
        <v>0</v>
      </c>
      <c r="DQ16" s="2">
        <v>0</v>
      </c>
      <c r="DR16" s="2">
        <v>0</v>
      </c>
      <c r="DS16" s="2">
        <v>0</v>
      </c>
      <c r="DT16" s="2">
        <v>0</v>
      </c>
      <c r="DU16" s="2">
        <v>0</v>
      </c>
      <c r="DV16" s="2">
        <v>0</v>
      </c>
      <c r="DW16" s="2">
        <v>0</v>
      </c>
      <c r="DX16" s="2">
        <v>0</v>
      </c>
      <c r="DY16" s="2">
        <v>0</v>
      </c>
      <c r="DZ16" s="2">
        <v>0</v>
      </c>
      <c r="EA16" s="2">
        <v>0</v>
      </c>
      <c r="EB16" s="2">
        <v>0</v>
      </c>
      <c r="EC16" s="2">
        <v>0</v>
      </c>
      <c r="ED16" s="2">
        <v>0</v>
      </c>
      <c r="EE16" s="2">
        <v>0</v>
      </c>
      <c r="EF16" s="2">
        <v>0</v>
      </c>
      <c r="EG16" s="2">
        <v>0</v>
      </c>
      <c r="EH16" s="2">
        <v>0</v>
      </c>
      <c r="EI16" s="2">
        <v>0</v>
      </c>
      <c r="EJ16" s="2">
        <v>0</v>
      </c>
      <c r="EK16" s="2">
        <v>0</v>
      </c>
      <c r="EL16" s="2">
        <v>0</v>
      </c>
      <c r="EM16" s="2">
        <v>0</v>
      </c>
      <c r="EN16" s="2">
        <v>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0</v>
      </c>
      <c r="EV16" s="2">
        <v>0</v>
      </c>
      <c r="EW16" s="2">
        <v>0</v>
      </c>
      <c r="EX16" s="2">
        <v>0</v>
      </c>
      <c r="EY16" s="2">
        <v>0</v>
      </c>
      <c r="EZ16" s="2">
        <v>0</v>
      </c>
      <c r="FA16" s="2">
        <v>0</v>
      </c>
      <c r="FB16" s="2">
        <v>0</v>
      </c>
      <c r="FC16" s="2">
        <v>0</v>
      </c>
      <c r="FD16" s="2">
        <v>0</v>
      </c>
      <c r="FE16" s="2">
        <v>0</v>
      </c>
      <c r="FF16" s="2">
        <v>0</v>
      </c>
      <c r="FG16" s="2">
        <v>0</v>
      </c>
      <c r="FH16" s="2">
        <v>0</v>
      </c>
      <c r="FI16" s="2">
        <v>0</v>
      </c>
      <c r="FJ16" s="2">
        <v>0</v>
      </c>
      <c r="FK16" s="2">
        <v>0</v>
      </c>
      <c r="FL16" s="2">
        <v>0</v>
      </c>
      <c r="FM16" s="2">
        <v>0</v>
      </c>
      <c r="FN16" s="2">
        <v>0</v>
      </c>
      <c r="FO16" s="2">
        <v>0</v>
      </c>
      <c r="FP16" s="2">
        <v>0</v>
      </c>
      <c r="FQ16" s="2">
        <v>0</v>
      </c>
      <c r="FR16" s="2">
        <v>0</v>
      </c>
      <c r="FS16" s="2">
        <v>0</v>
      </c>
      <c r="FT16" s="2">
        <v>0</v>
      </c>
      <c r="FU16" s="2">
        <v>0</v>
      </c>
      <c r="FV16" s="2">
        <v>0</v>
      </c>
      <c r="FW16" s="2">
        <v>0</v>
      </c>
      <c r="FX16" s="2">
        <v>0</v>
      </c>
      <c r="FY16" s="2">
        <v>0</v>
      </c>
      <c r="FZ16" s="2">
        <v>0</v>
      </c>
      <c r="GA16" s="2">
        <v>0</v>
      </c>
      <c r="GB16" s="2">
        <v>0</v>
      </c>
      <c r="GC16" s="2">
        <v>0</v>
      </c>
      <c r="GD16" s="2">
        <v>0</v>
      </c>
      <c r="GE16" s="2">
        <v>0</v>
      </c>
      <c r="GF16" s="2">
        <v>0</v>
      </c>
      <c r="GG16" s="2">
        <v>0</v>
      </c>
      <c r="GH16" s="2">
        <v>0</v>
      </c>
      <c r="GI16" s="2">
        <v>0</v>
      </c>
      <c r="GJ16" s="2">
        <v>0</v>
      </c>
      <c r="GK16" s="2">
        <v>0</v>
      </c>
      <c r="GL16" s="2">
        <v>0</v>
      </c>
      <c r="GM16" s="2">
        <v>0</v>
      </c>
      <c r="GN16" s="2">
        <v>0</v>
      </c>
      <c r="GO16" s="2">
        <v>0</v>
      </c>
      <c r="GP16" s="2">
        <v>0</v>
      </c>
      <c r="GQ16" s="2">
        <v>0</v>
      </c>
      <c r="GR16" s="2">
        <v>0</v>
      </c>
      <c r="GS16" s="2">
        <v>0</v>
      </c>
    </row>
    <row r="17" spans="1:201" x14ac:dyDescent="0.25">
      <c r="A17" s="1" t="s">
        <v>6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0</v>
      </c>
      <c r="CB17" s="2">
        <v>0</v>
      </c>
      <c r="CC17" s="2">
        <v>0</v>
      </c>
      <c r="CD17" s="2">
        <v>0</v>
      </c>
      <c r="CE17" s="2">
        <v>0</v>
      </c>
      <c r="CF17" s="2">
        <v>0</v>
      </c>
      <c r="CG17" s="2">
        <v>0</v>
      </c>
      <c r="CH17" s="2">
        <v>0</v>
      </c>
      <c r="CI17" s="2">
        <v>0</v>
      </c>
      <c r="CJ17" s="2">
        <v>0</v>
      </c>
      <c r="CK17" s="2">
        <v>0</v>
      </c>
      <c r="CL17" s="2">
        <v>0</v>
      </c>
      <c r="CM17" s="2">
        <v>0</v>
      </c>
      <c r="CN17" s="2">
        <v>0</v>
      </c>
      <c r="CO17" s="2">
        <v>0</v>
      </c>
      <c r="CP17" s="2">
        <v>0</v>
      </c>
      <c r="CQ17" s="2">
        <v>0</v>
      </c>
      <c r="CR17" s="2">
        <v>0</v>
      </c>
      <c r="CS17" s="2">
        <v>0</v>
      </c>
      <c r="CT17" s="2">
        <v>0</v>
      </c>
      <c r="CU17" s="2">
        <v>0</v>
      </c>
      <c r="CV17" s="2">
        <v>0</v>
      </c>
      <c r="CW17" s="2">
        <v>0</v>
      </c>
      <c r="CX17" s="2">
        <v>0</v>
      </c>
      <c r="CY17" s="2">
        <v>0</v>
      </c>
      <c r="CZ17" s="2">
        <v>0</v>
      </c>
      <c r="DA17" s="2">
        <v>0</v>
      </c>
      <c r="DB17" s="2">
        <v>0</v>
      </c>
      <c r="DC17" s="2">
        <v>0</v>
      </c>
      <c r="DD17" s="2">
        <v>0</v>
      </c>
      <c r="DE17" s="2">
        <v>0</v>
      </c>
      <c r="DF17" s="2">
        <v>0</v>
      </c>
      <c r="DG17" s="2">
        <v>0</v>
      </c>
      <c r="DH17" s="2">
        <v>0</v>
      </c>
      <c r="DI17" s="2">
        <v>0</v>
      </c>
      <c r="DJ17" s="2">
        <v>0</v>
      </c>
      <c r="DK17" s="2">
        <v>0</v>
      </c>
      <c r="DL17" s="2">
        <v>0</v>
      </c>
      <c r="DM17" s="2">
        <v>0</v>
      </c>
      <c r="DN17" s="2">
        <v>0</v>
      </c>
      <c r="DO17" s="2">
        <v>0</v>
      </c>
      <c r="DP17" s="2">
        <v>0</v>
      </c>
      <c r="DQ17" s="2">
        <v>0</v>
      </c>
      <c r="DR17" s="2">
        <v>0</v>
      </c>
      <c r="DS17" s="2">
        <v>0</v>
      </c>
      <c r="DT17" s="2">
        <v>0</v>
      </c>
      <c r="DU17" s="2">
        <v>0</v>
      </c>
      <c r="DV17" s="2">
        <v>0</v>
      </c>
      <c r="DW17" s="2">
        <v>0</v>
      </c>
      <c r="DX17" s="2">
        <v>0</v>
      </c>
      <c r="DY17" s="2">
        <v>0</v>
      </c>
      <c r="DZ17" s="2">
        <v>0</v>
      </c>
      <c r="EA17" s="2">
        <v>0</v>
      </c>
      <c r="EB17" s="2">
        <v>0</v>
      </c>
      <c r="EC17" s="2">
        <v>0</v>
      </c>
      <c r="ED17" s="2">
        <v>0</v>
      </c>
      <c r="EE17" s="2">
        <v>0</v>
      </c>
      <c r="EF17" s="2">
        <v>0</v>
      </c>
      <c r="EG17" s="2">
        <v>0</v>
      </c>
      <c r="EH17" s="2">
        <v>0</v>
      </c>
      <c r="EI17" s="2">
        <v>0</v>
      </c>
      <c r="EJ17" s="2">
        <v>0</v>
      </c>
      <c r="EK17" s="2">
        <v>0</v>
      </c>
      <c r="EL17" s="2">
        <v>0</v>
      </c>
      <c r="EM17" s="2">
        <v>0</v>
      </c>
      <c r="EN17" s="2">
        <v>0</v>
      </c>
      <c r="EO17" s="2">
        <v>0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0</v>
      </c>
      <c r="EV17" s="2">
        <v>0</v>
      </c>
      <c r="EW17" s="2">
        <v>0</v>
      </c>
      <c r="EX17" s="2">
        <v>0</v>
      </c>
      <c r="EY17" s="2">
        <v>0</v>
      </c>
      <c r="EZ17" s="2">
        <v>0</v>
      </c>
      <c r="FA17" s="2">
        <v>0</v>
      </c>
      <c r="FB17" s="2">
        <v>0</v>
      </c>
      <c r="FC17" s="2">
        <v>0</v>
      </c>
      <c r="FD17" s="2">
        <v>0</v>
      </c>
      <c r="FE17" s="2">
        <v>0</v>
      </c>
      <c r="FF17" s="2">
        <v>0</v>
      </c>
      <c r="FG17" s="2">
        <v>0</v>
      </c>
      <c r="FH17" s="2">
        <v>0</v>
      </c>
      <c r="FI17" s="2">
        <v>0</v>
      </c>
      <c r="FJ17" s="2">
        <v>0</v>
      </c>
      <c r="FK17" s="2">
        <v>0</v>
      </c>
      <c r="FL17" s="2">
        <v>0</v>
      </c>
      <c r="FM17" s="2">
        <v>0</v>
      </c>
      <c r="FN17" s="2">
        <v>0</v>
      </c>
      <c r="FO17" s="2">
        <v>0</v>
      </c>
      <c r="FP17" s="2">
        <v>0</v>
      </c>
      <c r="FQ17" s="2">
        <v>0</v>
      </c>
      <c r="FR17" s="2">
        <v>0</v>
      </c>
      <c r="FS17" s="2">
        <v>0</v>
      </c>
      <c r="FT17" s="2">
        <v>0</v>
      </c>
      <c r="FU17" s="2">
        <v>0</v>
      </c>
      <c r="FV17" s="2">
        <v>0</v>
      </c>
      <c r="FW17" s="2">
        <v>0</v>
      </c>
      <c r="FX17" s="2">
        <v>0</v>
      </c>
      <c r="FY17" s="2">
        <v>0</v>
      </c>
      <c r="FZ17" s="2">
        <v>0</v>
      </c>
      <c r="GA17" s="2">
        <v>0</v>
      </c>
      <c r="GB17" s="2">
        <v>0</v>
      </c>
      <c r="GC17" s="2">
        <v>0</v>
      </c>
      <c r="GD17" s="2">
        <v>0</v>
      </c>
      <c r="GE17" s="2">
        <v>0</v>
      </c>
      <c r="GF17" s="2">
        <v>0</v>
      </c>
      <c r="GG17" s="2">
        <v>0</v>
      </c>
      <c r="GH17" s="2">
        <v>0</v>
      </c>
      <c r="GI17" s="2">
        <v>0</v>
      </c>
      <c r="GJ17" s="2">
        <v>0</v>
      </c>
      <c r="GK17" s="2">
        <v>0</v>
      </c>
      <c r="GL17" s="2">
        <v>0</v>
      </c>
      <c r="GM17" s="2">
        <v>0</v>
      </c>
      <c r="GN17" s="2">
        <v>0</v>
      </c>
      <c r="GO17" s="2">
        <v>0</v>
      </c>
      <c r="GP17" s="2">
        <v>0</v>
      </c>
      <c r="GQ17" s="2">
        <v>0</v>
      </c>
      <c r="GR17" s="2">
        <v>0</v>
      </c>
      <c r="GS17" s="2">
        <v>0</v>
      </c>
    </row>
    <row r="18" spans="1:201" x14ac:dyDescent="0.25">
      <c r="A18" s="1" t="s">
        <v>7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2">
        <v>0</v>
      </c>
      <c r="CC18" s="2">
        <v>0</v>
      </c>
      <c r="CD18" s="2">
        <v>0</v>
      </c>
      <c r="CE18" s="2">
        <v>0</v>
      </c>
      <c r="CF18" s="2">
        <v>0</v>
      </c>
      <c r="CG18" s="2">
        <v>0</v>
      </c>
      <c r="CH18" s="2">
        <v>0</v>
      </c>
      <c r="CI18" s="2">
        <v>0</v>
      </c>
      <c r="CJ18" s="2">
        <v>0</v>
      </c>
      <c r="CK18" s="2">
        <v>0</v>
      </c>
      <c r="CL18" s="2">
        <v>0</v>
      </c>
      <c r="CM18" s="2">
        <v>0</v>
      </c>
      <c r="CN18" s="2">
        <v>0</v>
      </c>
      <c r="CO18" s="2">
        <v>0</v>
      </c>
      <c r="CP18" s="2">
        <v>0</v>
      </c>
      <c r="CQ18" s="2">
        <v>0</v>
      </c>
      <c r="CR18" s="2">
        <v>0</v>
      </c>
      <c r="CS18" s="2">
        <v>0</v>
      </c>
      <c r="CT18" s="2">
        <v>0</v>
      </c>
      <c r="CU18" s="2">
        <v>0</v>
      </c>
      <c r="CV18" s="2">
        <v>0</v>
      </c>
      <c r="CW18" s="2">
        <v>0</v>
      </c>
      <c r="CX18" s="2">
        <v>0</v>
      </c>
      <c r="CY18" s="2">
        <v>0</v>
      </c>
      <c r="CZ18" s="2">
        <v>0</v>
      </c>
      <c r="DA18" s="2">
        <v>0</v>
      </c>
      <c r="DB18" s="2">
        <v>0</v>
      </c>
      <c r="DC18" s="2">
        <v>0</v>
      </c>
      <c r="DD18" s="2">
        <v>0</v>
      </c>
      <c r="DE18" s="2">
        <v>0</v>
      </c>
      <c r="DF18" s="2">
        <v>0</v>
      </c>
      <c r="DG18" s="2">
        <v>0</v>
      </c>
      <c r="DH18" s="2">
        <v>0</v>
      </c>
      <c r="DI18" s="2">
        <v>0</v>
      </c>
      <c r="DJ18" s="2">
        <v>0</v>
      </c>
      <c r="DK18" s="2">
        <v>0</v>
      </c>
      <c r="DL18" s="2">
        <v>0</v>
      </c>
      <c r="DM18" s="2">
        <v>0</v>
      </c>
      <c r="DN18" s="2">
        <v>0</v>
      </c>
      <c r="DO18" s="2">
        <v>0</v>
      </c>
      <c r="DP18" s="2">
        <v>0</v>
      </c>
      <c r="DQ18" s="2">
        <v>0</v>
      </c>
      <c r="DR18" s="2">
        <v>0</v>
      </c>
      <c r="DS18" s="2">
        <v>0</v>
      </c>
      <c r="DT18" s="2">
        <v>0</v>
      </c>
      <c r="DU18" s="2">
        <v>0</v>
      </c>
      <c r="DV18" s="2">
        <v>0</v>
      </c>
      <c r="DW18" s="2">
        <v>0</v>
      </c>
      <c r="DX18" s="2">
        <v>0</v>
      </c>
      <c r="DY18" s="2">
        <v>0</v>
      </c>
      <c r="DZ18" s="2">
        <v>0</v>
      </c>
      <c r="EA18" s="2">
        <v>0</v>
      </c>
      <c r="EB18" s="2">
        <v>0</v>
      </c>
      <c r="EC18" s="2">
        <v>0</v>
      </c>
      <c r="ED18" s="2">
        <v>0</v>
      </c>
      <c r="EE18" s="2">
        <v>0</v>
      </c>
      <c r="EF18" s="2">
        <v>0</v>
      </c>
      <c r="EG18" s="2">
        <v>0</v>
      </c>
      <c r="EH18" s="2">
        <v>0</v>
      </c>
      <c r="EI18" s="2">
        <v>0</v>
      </c>
      <c r="EJ18" s="2">
        <v>0</v>
      </c>
      <c r="EK18" s="2">
        <v>0</v>
      </c>
      <c r="EL18" s="2">
        <v>0</v>
      </c>
      <c r="EM18" s="2">
        <v>0</v>
      </c>
      <c r="EN18" s="2">
        <v>0</v>
      </c>
      <c r="EO18" s="2">
        <v>0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0</v>
      </c>
      <c r="EV18" s="2">
        <v>0</v>
      </c>
      <c r="EW18" s="2">
        <v>0</v>
      </c>
      <c r="EX18" s="2">
        <v>0</v>
      </c>
      <c r="EY18" s="2">
        <v>0</v>
      </c>
      <c r="EZ18" s="2">
        <v>0</v>
      </c>
      <c r="FA18" s="2">
        <v>0</v>
      </c>
      <c r="FB18" s="2">
        <v>0</v>
      </c>
      <c r="FC18" s="2">
        <v>0</v>
      </c>
      <c r="FD18" s="2">
        <v>0</v>
      </c>
      <c r="FE18" s="2">
        <v>0</v>
      </c>
      <c r="FF18" s="2">
        <v>0</v>
      </c>
      <c r="FG18" s="2">
        <v>0</v>
      </c>
      <c r="FH18" s="2">
        <v>0</v>
      </c>
      <c r="FI18" s="2">
        <v>0</v>
      </c>
      <c r="FJ18" s="2">
        <v>0</v>
      </c>
      <c r="FK18" s="2">
        <v>0</v>
      </c>
      <c r="FL18" s="2">
        <v>0</v>
      </c>
      <c r="FM18" s="2">
        <v>0</v>
      </c>
      <c r="FN18" s="2">
        <v>0</v>
      </c>
      <c r="FO18" s="2">
        <v>0</v>
      </c>
      <c r="FP18" s="2">
        <v>0</v>
      </c>
      <c r="FQ18" s="2">
        <v>0</v>
      </c>
      <c r="FR18" s="2">
        <v>0</v>
      </c>
      <c r="FS18" s="2">
        <v>0</v>
      </c>
      <c r="FT18" s="2">
        <v>0</v>
      </c>
      <c r="FU18" s="2">
        <v>0</v>
      </c>
      <c r="FV18" s="2">
        <v>0</v>
      </c>
      <c r="FW18" s="2">
        <v>0</v>
      </c>
      <c r="FX18" s="2">
        <v>0</v>
      </c>
      <c r="FY18" s="2">
        <v>0</v>
      </c>
      <c r="FZ18" s="2">
        <v>0</v>
      </c>
      <c r="GA18" s="2">
        <v>0</v>
      </c>
      <c r="GB18" s="2">
        <v>0</v>
      </c>
      <c r="GC18" s="2">
        <v>0</v>
      </c>
      <c r="GD18" s="2">
        <v>0</v>
      </c>
      <c r="GE18" s="2">
        <v>0</v>
      </c>
      <c r="GF18" s="2">
        <v>0</v>
      </c>
      <c r="GG18" s="2">
        <v>0</v>
      </c>
      <c r="GH18" s="2">
        <v>0</v>
      </c>
      <c r="GI18" s="2">
        <v>0</v>
      </c>
      <c r="GJ18" s="2">
        <v>0</v>
      </c>
      <c r="GK18" s="2">
        <v>0</v>
      </c>
      <c r="GL18" s="2">
        <v>0</v>
      </c>
      <c r="GM18" s="2">
        <v>0</v>
      </c>
      <c r="GN18" s="2">
        <v>0</v>
      </c>
      <c r="GO18" s="2">
        <v>0</v>
      </c>
      <c r="GP18" s="2">
        <v>0</v>
      </c>
      <c r="GQ18" s="2">
        <v>0</v>
      </c>
      <c r="GR18" s="2">
        <v>0</v>
      </c>
      <c r="GS18" s="2">
        <v>0</v>
      </c>
    </row>
    <row r="19" spans="1:201" x14ac:dyDescent="0.25">
      <c r="A19" s="1" t="s">
        <v>8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  <c r="FM19" s="1">
        <v>0</v>
      </c>
      <c r="FN19" s="1">
        <v>0</v>
      </c>
      <c r="FO19" s="1">
        <v>0</v>
      </c>
      <c r="FP19" s="1">
        <v>0</v>
      </c>
      <c r="FQ19" s="1">
        <v>0</v>
      </c>
      <c r="FR19" s="1">
        <v>0</v>
      </c>
      <c r="FS19" s="1">
        <v>0</v>
      </c>
      <c r="FT19" s="1">
        <v>0</v>
      </c>
      <c r="FU19" s="1">
        <v>0</v>
      </c>
      <c r="FV19" s="1">
        <v>0</v>
      </c>
      <c r="FW19" s="1">
        <v>0</v>
      </c>
      <c r="FX19" s="1">
        <v>0</v>
      </c>
      <c r="FY19" s="1">
        <v>0</v>
      </c>
      <c r="FZ19" s="1">
        <v>0</v>
      </c>
      <c r="GA19" s="1">
        <v>0</v>
      </c>
      <c r="GB19" s="1">
        <v>0</v>
      </c>
      <c r="GC19" s="1">
        <v>0</v>
      </c>
      <c r="GD19" s="1">
        <v>0</v>
      </c>
      <c r="GE19" s="1">
        <v>0</v>
      </c>
      <c r="GF19" s="1">
        <v>0</v>
      </c>
      <c r="GG19" s="1">
        <v>0</v>
      </c>
      <c r="GH19" s="1">
        <v>0</v>
      </c>
      <c r="GI19" s="1">
        <v>0</v>
      </c>
      <c r="GJ19" s="1">
        <v>0</v>
      </c>
      <c r="GK19" s="1">
        <v>0</v>
      </c>
      <c r="GL19" s="1">
        <v>0</v>
      </c>
      <c r="GM19" s="1">
        <v>0</v>
      </c>
      <c r="GN19" s="1">
        <v>0</v>
      </c>
      <c r="GO19" s="1">
        <v>0</v>
      </c>
      <c r="GP19" s="1">
        <v>0</v>
      </c>
      <c r="GQ19" s="1">
        <v>0</v>
      </c>
      <c r="GR19" s="1">
        <v>0</v>
      </c>
      <c r="GS19" s="1">
        <v>0</v>
      </c>
    </row>
    <row r="20" spans="1:201" x14ac:dyDescent="0.25">
      <c r="A20" s="1" t="s">
        <v>15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  <c r="FM20" s="1">
        <v>0</v>
      </c>
      <c r="FN20" s="1">
        <v>0</v>
      </c>
      <c r="FO20" s="1">
        <v>0</v>
      </c>
      <c r="FP20" s="1">
        <v>0</v>
      </c>
      <c r="FQ20" s="1">
        <v>0</v>
      </c>
      <c r="FR20" s="1">
        <v>0</v>
      </c>
      <c r="FS20" s="1">
        <v>0</v>
      </c>
      <c r="FT20" s="1">
        <v>0</v>
      </c>
      <c r="FU20" s="1">
        <v>0</v>
      </c>
      <c r="FV20" s="1">
        <v>0</v>
      </c>
      <c r="FW20" s="1">
        <v>0</v>
      </c>
      <c r="FX20" s="1">
        <v>0</v>
      </c>
      <c r="FY20" s="1">
        <v>0</v>
      </c>
      <c r="FZ20" s="1">
        <v>0</v>
      </c>
      <c r="GA20" s="1">
        <v>0</v>
      </c>
      <c r="GB20" s="1">
        <v>0</v>
      </c>
      <c r="GC20" s="1">
        <v>0</v>
      </c>
      <c r="GD20" s="1">
        <v>0</v>
      </c>
      <c r="GE20" s="1">
        <v>0</v>
      </c>
      <c r="GF20" s="1">
        <v>0</v>
      </c>
      <c r="GG20" s="1">
        <v>0</v>
      </c>
      <c r="GH20" s="1">
        <v>0</v>
      </c>
      <c r="GI20" s="1">
        <v>0</v>
      </c>
      <c r="GJ20" s="1">
        <v>0</v>
      </c>
      <c r="GK20" s="1">
        <v>0</v>
      </c>
      <c r="GL20" s="1">
        <v>0</v>
      </c>
      <c r="GM20" s="1">
        <v>0</v>
      </c>
      <c r="GN20" s="1">
        <v>0</v>
      </c>
      <c r="GO20" s="1">
        <v>0</v>
      </c>
      <c r="GP20" s="1">
        <v>0</v>
      </c>
      <c r="GQ20" s="1">
        <v>0</v>
      </c>
      <c r="GR20" s="1">
        <v>0</v>
      </c>
      <c r="GS20" s="1">
        <v>0</v>
      </c>
    </row>
    <row r="21" spans="1:201" x14ac:dyDescent="0.25">
      <c r="A21" s="1" t="s">
        <v>24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  <c r="FM21" s="1">
        <v>0</v>
      </c>
      <c r="FN21" s="1">
        <v>0</v>
      </c>
      <c r="FO21" s="1">
        <v>0</v>
      </c>
      <c r="FP21" s="1">
        <v>0</v>
      </c>
      <c r="FQ21" s="1">
        <v>0</v>
      </c>
      <c r="FR21" s="1">
        <v>0</v>
      </c>
      <c r="FS21" s="1">
        <v>0</v>
      </c>
      <c r="FT21" s="1">
        <v>0</v>
      </c>
      <c r="FU21" s="1">
        <v>0</v>
      </c>
      <c r="FV21" s="1">
        <v>0</v>
      </c>
      <c r="FW21" s="1">
        <v>0</v>
      </c>
      <c r="FX21" s="1">
        <v>0</v>
      </c>
      <c r="FY21" s="1">
        <v>0</v>
      </c>
      <c r="FZ21" s="1">
        <v>0</v>
      </c>
      <c r="GA21" s="1">
        <v>0</v>
      </c>
      <c r="GB21" s="1">
        <v>0</v>
      </c>
      <c r="GC21" s="1">
        <v>0</v>
      </c>
      <c r="GD21" s="1">
        <v>0</v>
      </c>
      <c r="GE21" s="1">
        <v>0</v>
      </c>
      <c r="GF21" s="1">
        <v>0</v>
      </c>
      <c r="GG21" s="1">
        <v>0</v>
      </c>
      <c r="GH21" s="1">
        <v>0</v>
      </c>
      <c r="GI21" s="1">
        <v>0</v>
      </c>
      <c r="GJ21" s="1">
        <v>0</v>
      </c>
      <c r="GK21" s="1">
        <v>0</v>
      </c>
      <c r="GL21" s="1">
        <v>0</v>
      </c>
      <c r="GM21" s="1">
        <v>0</v>
      </c>
      <c r="GN21" s="1">
        <v>0</v>
      </c>
      <c r="GO21" s="1">
        <v>0</v>
      </c>
      <c r="GP21" s="1">
        <v>0</v>
      </c>
      <c r="GQ21" s="1">
        <v>0</v>
      </c>
      <c r="GR21" s="1">
        <v>0</v>
      </c>
      <c r="GS21" s="1">
        <v>0</v>
      </c>
    </row>
    <row r="22" spans="1:201" x14ac:dyDescent="0.25">
      <c r="A22" s="1" t="s">
        <v>25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  <c r="FM22" s="1">
        <v>0</v>
      </c>
      <c r="FN22" s="1">
        <v>0</v>
      </c>
      <c r="FO22" s="1">
        <v>0</v>
      </c>
      <c r="FP22" s="1">
        <v>0</v>
      </c>
      <c r="FQ22" s="1">
        <v>0</v>
      </c>
      <c r="FR22" s="1">
        <v>0</v>
      </c>
      <c r="FS22" s="1">
        <v>0</v>
      </c>
      <c r="FT22" s="1">
        <v>0</v>
      </c>
      <c r="FU22" s="1">
        <v>0</v>
      </c>
      <c r="FV22" s="1">
        <v>0</v>
      </c>
      <c r="FW22" s="1">
        <v>0</v>
      </c>
      <c r="FX22" s="1">
        <v>0</v>
      </c>
      <c r="FY22" s="1">
        <v>0</v>
      </c>
      <c r="FZ22" s="1">
        <v>0</v>
      </c>
      <c r="GA22" s="1">
        <v>0</v>
      </c>
      <c r="GB22" s="1">
        <v>0</v>
      </c>
      <c r="GC22" s="1">
        <v>0</v>
      </c>
      <c r="GD22" s="1">
        <v>0</v>
      </c>
      <c r="GE22" s="1">
        <v>0</v>
      </c>
      <c r="GF22" s="1">
        <v>0</v>
      </c>
      <c r="GG22" s="1">
        <v>0</v>
      </c>
      <c r="GH22" s="1">
        <v>0</v>
      </c>
      <c r="GI22" s="1">
        <v>0</v>
      </c>
      <c r="GJ22" s="1">
        <v>0</v>
      </c>
      <c r="GK22" s="1">
        <v>0</v>
      </c>
      <c r="GL22" s="1">
        <v>0</v>
      </c>
      <c r="GM22" s="1">
        <v>0</v>
      </c>
      <c r="GN22" s="1">
        <v>0</v>
      </c>
      <c r="GO22" s="1">
        <v>0</v>
      </c>
      <c r="GP22" s="1">
        <v>0</v>
      </c>
      <c r="GQ22" s="1">
        <v>0</v>
      </c>
      <c r="GR22" s="1">
        <v>0</v>
      </c>
      <c r="GS22" s="1">
        <v>0</v>
      </c>
    </row>
    <row r="23" spans="1:201" x14ac:dyDescent="0.25">
      <c r="A23" s="1" t="s">
        <v>26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  <c r="FM23" s="1">
        <v>0</v>
      </c>
      <c r="FN23" s="1">
        <v>0</v>
      </c>
      <c r="FO23" s="1">
        <v>0</v>
      </c>
      <c r="FP23" s="1">
        <v>0</v>
      </c>
      <c r="FQ23" s="1">
        <v>0</v>
      </c>
      <c r="FR23" s="1">
        <v>0</v>
      </c>
      <c r="FS23" s="1">
        <v>0</v>
      </c>
      <c r="FT23" s="1">
        <v>0</v>
      </c>
      <c r="FU23" s="1">
        <v>0</v>
      </c>
      <c r="FV23" s="1">
        <v>0</v>
      </c>
      <c r="FW23" s="1">
        <v>0</v>
      </c>
      <c r="FX23" s="1">
        <v>0</v>
      </c>
      <c r="FY23" s="1">
        <v>0</v>
      </c>
      <c r="FZ23" s="1">
        <v>0</v>
      </c>
      <c r="GA23" s="1">
        <v>0</v>
      </c>
      <c r="GB23" s="1">
        <v>0</v>
      </c>
      <c r="GC23" s="1">
        <v>0</v>
      </c>
      <c r="GD23" s="1">
        <v>0</v>
      </c>
      <c r="GE23" s="1">
        <v>0</v>
      </c>
      <c r="GF23" s="1">
        <v>0</v>
      </c>
      <c r="GG23" s="1">
        <v>0</v>
      </c>
      <c r="GH23" s="1">
        <v>0</v>
      </c>
      <c r="GI23" s="1">
        <v>0</v>
      </c>
      <c r="GJ23" s="1">
        <v>0</v>
      </c>
      <c r="GK23" s="1">
        <v>0</v>
      </c>
      <c r="GL23" s="1">
        <v>0</v>
      </c>
      <c r="GM23" s="1">
        <v>0</v>
      </c>
      <c r="GN23" s="1">
        <v>0</v>
      </c>
      <c r="GO23" s="1">
        <v>0</v>
      </c>
      <c r="GP23" s="1">
        <v>0</v>
      </c>
      <c r="GQ23" s="1">
        <v>0</v>
      </c>
      <c r="GR23" s="1">
        <v>0</v>
      </c>
      <c r="GS23" s="1">
        <v>0</v>
      </c>
    </row>
    <row r="26" spans="1:201" x14ac:dyDescent="0.25">
      <c r="A26" s="9" t="s">
        <v>10</v>
      </c>
      <c r="B26" s="1">
        <v>1</v>
      </c>
      <c r="C26" s="1">
        <v>2</v>
      </c>
      <c r="D26" s="1">
        <v>3</v>
      </c>
      <c r="E26" s="1">
        <v>4</v>
      </c>
      <c r="F26" s="1">
        <v>5</v>
      </c>
      <c r="G26" s="1">
        <v>6</v>
      </c>
      <c r="H26" s="1">
        <v>7</v>
      </c>
      <c r="I26" s="1">
        <v>8</v>
      </c>
      <c r="J26" s="1">
        <v>9</v>
      </c>
      <c r="K26" s="1">
        <v>10</v>
      </c>
      <c r="L26" s="1">
        <v>11</v>
      </c>
      <c r="M26" s="1">
        <v>12</v>
      </c>
      <c r="N26" s="1">
        <v>13</v>
      </c>
      <c r="O26" s="1">
        <v>14</v>
      </c>
      <c r="P26" s="1">
        <v>15</v>
      </c>
      <c r="Q26" s="1">
        <v>16</v>
      </c>
      <c r="R26" s="1">
        <v>17</v>
      </c>
      <c r="S26" s="1">
        <v>18</v>
      </c>
      <c r="T26" s="1">
        <v>19</v>
      </c>
      <c r="U26" s="1">
        <v>20</v>
      </c>
      <c r="V26" s="1">
        <v>21</v>
      </c>
      <c r="W26" s="1">
        <v>22</v>
      </c>
      <c r="X26" s="1">
        <v>23</v>
      </c>
      <c r="Y26" s="1">
        <v>24</v>
      </c>
      <c r="Z26" s="1">
        <v>25</v>
      </c>
      <c r="AA26" s="1">
        <v>26</v>
      </c>
      <c r="AB26" s="1">
        <v>27</v>
      </c>
      <c r="AC26" s="1">
        <v>28</v>
      </c>
      <c r="AD26" s="1">
        <v>29</v>
      </c>
      <c r="AE26" s="1">
        <v>30</v>
      </c>
      <c r="AF26" s="1">
        <v>31</v>
      </c>
      <c r="AG26" s="1">
        <v>32</v>
      </c>
      <c r="AH26" s="1">
        <v>33</v>
      </c>
      <c r="AI26" s="1">
        <v>34</v>
      </c>
      <c r="AJ26" s="1">
        <v>35</v>
      </c>
      <c r="AK26" s="1">
        <v>36</v>
      </c>
      <c r="AL26" s="1">
        <v>37</v>
      </c>
      <c r="AM26" s="1">
        <v>38</v>
      </c>
      <c r="AN26" s="1">
        <v>39</v>
      </c>
      <c r="AO26" s="1">
        <v>40</v>
      </c>
      <c r="AP26" s="1">
        <v>41</v>
      </c>
      <c r="AQ26" s="1">
        <v>42</v>
      </c>
      <c r="AR26" s="1">
        <v>43</v>
      </c>
      <c r="AS26" s="1">
        <v>44</v>
      </c>
      <c r="AT26" s="1">
        <v>45</v>
      </c>
      <c r="AU26" s="1">
        <v>46</v>
      </c>
      <c r="AV26" s="1">
        <v>47</v>
      </c>
      <c r="AW26" s="1">
        <v>48</v>
      </c>
      <c r="AX26" s="1">
        <v>49</v>
      </c>
      <c r="AY26" s="1">
        <v>50</v>
      </c>
      <c r="AZ26" s="1">
        <v>51</v>
      </c>
      <c r="BA26" s="1">
        <v>52</v>
      </c>
      <c r="BB26" s="1">
        <v>53</v>
      </c>
      <c r="BC26" s="1">
        <v>54</v>
      </c>
      <c r="BD26" s="1">
        <v>55</v>
      </c>
      <c r="BE26" s="1">
        <v>56</v>
      </c>
      <c r="BF26" s="1">
        <v>57</v>
      </c>
      <c r="BG26" s="1">
        <v>58</v>
      </c>
      <c r="BH26" s="1">
        <v>59</v>
      </c>
      <c r="BI26" s="1">
        <v>60</v>
      </c>
      <c r="BJ26" s="1">
        <v>61</v>
      </c>
      <c r="BK26" s="1">
        <v>62</v>
      </c>
      <c r="BL26" s="1">
        <v>63</v>
      </c>
      <c r="BM26" s="1">
        <v>64</v>
      </c>
      <c r="BN26" s="1">
        <v>65</v>
      </c>
      <c r="BO26" s="1">
        <v>66</v>
      </c>
      <c r="BP26" s="1">
        <v>67</v>
      </c>
      <c r="BQ26" s="1">
        <v>68</v>
      </c>
      <c r="BR26" s="1">
        <v>69</v>
      </c>
      <c r="BS26" s="1">
        <v>70</v>
      </c>
      <c r="BT26" s="1">
        <v>71</v>
      </c>
      <c r="BU26" s="1">
        <v>72</v>
      </c>
      <c r="BV26" s="1">
        <v>73</v>
      </c>
      <c r="BW26" s="1">
        <v>74</v>
      </c>
      <c r="BX26" s="1">
        <v>75</v>
      </c>
      <c r="BY26" s="1">
        <v>76</v>
      </c>
      <c r="BZ26" s="1">
        <v>77</v>
      </c>
      <c r="CA26" s="1">
        <v>78</v>
      </c>
      <c r="CB26" s="1">
        <v>79</v>
      </c>
      <c r="CC26" s="1">
        <v>80</v>
      </c>
      <c r="CD26" s="1">
        <v>81</v>
      </c>
      <c r="CE26" s="1">
        <v>82</v>
      </c>
      <c r="CF26" s="1">
        <v>83</v>
      </c>
      <c r="CG26" s="1">
        <v>84</v>
      </c>
      <c r="CH26" s="1">
        <v>85</v>
      </c>
      <c r="CI26" s="1">
        <v>86</v>
      </c>
      <c r="CJ26" s="1">
        <v>87</v>
      </c>
      <c r="CK26" s="1">
        <v>88</v>
      </c>
      <c r="CL26" s="1">
        <v>89</v>
      </c>
      <c r="CM26" s="1">
        <v>90</v>
      </c>
      <c r="CN26" s="1">
        <v>91</v>
      </c>
      <c r="CO26" s="1">
        <v>92</v>
      </c>
      <c r="CP26" s="1">
        <v>93</v>
      </c>
      <c r="CQ26" s="1">
        <v>94</v>
      </c>
      <c r="CR26" s="1">
        <v>95</v>
      </c>
      <c r="CS26" s="1">
        <v>96</v>
      </c>
      <c r="CT26" s="1">
        <v>97</v>
      </c>
      <c r="CU26" s="1">
        <v>98</v>
      </c>
      <c r="CV26" s="1">
        <v>99</v>
      </c>
      <c r="CW26" s="1">
        <v>100</v>
      </c>
      <c r="CX26" s="1">
        <v>101</v>
      </c>
      <c r="CY26" s="1">
        <v>102</v>
      </c>
      <c r="CZ26" s="1">
        <v>103</v>
      </c>
      <c r="DA26" s="1">
        <v>104</v>
      </c>
      <c r="DB26" s="1">
        <v>105</v>
      </c>
      <c r="DC26" s="1">
        <v>106</v>
      </c>
      <c r="DD26" s="1">
        <v>107</v>
      </c>
      <c r="DE26" s="1">
        <v>108</v>
      </c>
      <c r="DF26" s="1">
        <v>109</v>
      </c>
      <c r="DG26" s="1">
        <v>110</v>
      </c>
      <c r="DH26" s="1">
        <v>111</v>
      </c>
      <c r="DI26" s="1">
        <v>112</v>
      </c>
      <c r="DJ26" s="1">
        <v>113</v>
      </c>
      <c r="DK26" s="1">
        <v>114</v>
      </c>
      <c r="DL26" s="1">
        <v>115</v>
      </c>
      <c r="DM26" s="1">
        <v>116</v>
      </c>
      <c r="DN26" s="1">
        <v>117</v>
      </c>
      <c r="DO26" s="1">
        <v>118</v>
      </c>
      <c r="DP26" s="1">
        <v>119</v>
      </c>
      <c r="DQ26" s="1">
        <v>120</v>
      </c>
      <c r="DR26" s="1">
        <v>121</v>
      </c>
      <c r="DS26" s="1">
        <v>122</v>
      </c>
      <c r="DT26" s="1">
        <v>123</v>
      </c>
      <c r="DU26" s="1">
        <v>124</v>
      </c>
      <c r="DV26" s="1">
        <v>125</v>
      </c>
      <c r="DW26" s="1">
        <v>126</v>
      </c>
      <c r="DX26" s="1">
        <v>127</v>
      </c>
      <c r="DY26" s="1">
        <v>128</v>
      </c>
      <c r="DZ26" s="1">
        <v>129</v>
      </c>
      <c r="EA26" s="1">
        <v>130</v>
      </c>
      <c r="EB26" s="1">
        <v>131</v>
      </c>
      <c r="EC26" s="1">
        <v>132</v>
      </c>
      <c r="ED26" s="1">
        <v>133</v>
      </c>
      <c r="EE26" s="1">
        <v>134</v>
      </c>
      <c r="EF26" s="1">
        <v>135</v>
      </c>
      <c r="EG26" s="1">
        <v>136</v>
      </c>
      <c r="EH26" s="1">
        <v>137</v>
      </c>
      <c r="EI26" s="1">
        <v>138</v>
      </c>
      <c r="EJ26" s="1">
        <v>139</v>
      </c>
      <c r="EK26" s="1">
        <v>140</v>
      </c>
      <c r="EL26" s="1">
        <v>141</v>
      </c>
      <c r="EM26" s="1">
        <v>142</v>
      </c>
      <c r="EN26" s="1">
        <v>143</v>
      </c>
      <c r="EO26" s="1">
        <v>144</v>
      </c>
      <c r="EP26" s="1">
        <v>145</v>
      </c>
      <c r="EQ26" s="1">
        <v>146</v>
      </c>
      <c r="ER26" s="1">
        <v>147</v>
      </c>
      <c r="ES26" s="1">
        <v>148</v>
      </c>
      <c r="ET26" s="1">
        <v>149</v>
      </c>
      <c r="EU26" s="1">
        <v>150</v>
      </c>
      <c r="EV26" s="1">
        <v>151</v>
      </c>
      <c r="EW26" s="1">
        <v>152</v>
      </c>
      <c r="EX26" s="1">
        <v>153</v>
      </c>
      <c r="EY26" s="1">
        <v>154</v>
      </c>
      <c r="EZ26" s="1">
        <v>155</v>
      </c>
      <c r="FA26" s="1">
        <v>156</v>
      </c>
      <c r="FB26" s="1">
        <v>157</v>
      </c>
      <c r="FC26" s="1">
        <v>158</v>
      </c>
      <c r="FD26" s="1">
        <v>159</v>
      </c>
      <c r="FE26" s="1">
        <v>160</v>
      </c>
      <c r="FF26" s="1">
        <v>161</v>
      </c>
      <c r="FG26" s="1">
        <v>162</v>
      </c>
      <c r="FH26" s="1">
        <v>163</v>
      </c>
      <c r="FI26" s="1">
        <v>164</v>
      </c>
      <c r="FJ26" s="1">
        <v>165</v>
      </c>
      <c r="FK26" s="1">
        <v>166</v>
      </c>
      <c r="FL26" s="1">
        <v>167</v>
      </c>
      <c r="FM26" s="1">
        <v>168</v>
      </c>
      <c r="FN26" s="1">
        <v>169</v>
      </c>
      <c r="FO26" s="1">
        <v>170</v>
      </c>
      <c r="FP26" s="1">
        <v>171</v>
      </c>
      <c r="FQ26" s="1">
        <v>172</v>
      </c>
      <c r="FR26" s="1">
        <v>173</v>
      </c>
      <c r="FS26" s="1">
        <v>174</v>
      </c>
      <c r="FT26" s="1">
        <v>175</v>
      </c>
      <c r="FU26" s="1">
        <v>176</v>
      </c>
      <c r="FV26" s="1">
        <v>177</v>
      </c>
      <c r="FW26" s="1">
        <v>178</v>
      </c>
      <c r="FX26" s="1">
        <v>179</v>
      </c>
      <c r="FY26" s="1">
        <v>180</v>
      </c>
      <c r="FZ26" s="1">
        <v>181</v>
      </c>
      <c r="GA26" s="1">
        <v>182</v>
      </c>
      <c r="GB26" s="1">
        <v>183</v>
      </c>
      <c r="GC26" s="1">
        <v>184</v>
      </c>
      <c r="GD26" s="1">
        <v>185</v>
      </c>
      <c r="GE26" s="1">
        <v>186</v>
      </c>
      <c r="GF26" s="1">
        <v>187</v>
      </c>
      <c r="GG26" s="1">
        <v>188</v>
      </c>
      <c r="GH26" s="1">
        <v>189</v>
      </c>
      <c r="GI26" s="1">
        <v>190</v>
      </c>
      <c r="GJ26" s="1">
        <v>191</v>
      </c>
      <c r="GK26" s="1">
        <v>192</v>
      </c>
      <c r="GL26" s="1">
        <v>193</v>
      </c>
      <c r="GM26" s="1">
        <v>194</v>
      </c>
      <c r="GN26" s="1">
        <v>195</v>
      </c>
      <c r="GO26" s="1">
        <v>196</v>
      </c>
      <c r="GP26" s="1">
        <v>197</v>
      </c>
      <c r="GQ26" s="1">
        <v>198</v>
      </c>
      <c r="GR26" s="1">
        <v>199</v>
      </c>
      <c r="GS26" s="1">
        <v>200</v>
      </c>
    </row>
    <row r="27" spans="1:201" x14ac:dyDescent="0.25">
      <c r="A27" s="1" t="s">
        <v>3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  <c r="FM27" s="1">
        <v>0</v>
      </c>
      <c r="FN27" s="1">
        <v>0</v>
      </c>
      <c r="FO27" s="1">
        <v>0</v>
      </c>
      <c r="FP27" s="1">
        <v>0</v>
      </c>
      <c r="FQ27" s="1">
        <v>0</v>
      </c>
      <c r="FR27" s="1">
        <v>0</v>
      </c>
      <c r="FS27" s="1">
        <v>0</v>
      </c>
      <c r="FT27" s="1">
        <v>0</v>
      </c>
      <c r="FU27" s="1">
        <v>0</v>
      </c>
      <c r="FV27" s="1">
        <v>0</v>
      </c>
      <c r="FW27" s="1">
        <v>0</v>
      </c>
      <c r="FX27" s="1">
        <v>0</v>
      </c>
      <c r="FY27" s="1">
        <v>0</v>
      </c>
      <c r="FZ27" s="1">
        <v>0</v>
      </c>
      <c r="GA27" s="1">
        <v>0</v>
      </c>
      <c r="GB27" s="1">
        <v>0</v>
      </c>
      <c r="GC27" s="1">
        <v>0</v>
      </c>
      <c r="GD27" s="1">
        <v>0</v>
      </c>
      <c r="GE27" s="1">
        <v>0</v>
      </c>
      <c r="GF27" s="1">
        <v>0</v>
      </c>
      <c r="GG27" s="1">
        <v>0</v>
      </c>
      <c r="GH27" s="1">
        <v>0</v>
      </c>
      <c r="GI27" s="1">
        <v>0</v>
      </c>
      <c r="GJ27" s="1">
        <v>0</v>
      </c>
      <c r="GK27" s="1">
        <v>0</v>
      </c>
      <c r="GL27" s="1">
        <v>0</v>
      </c>
      <c r="GM27" s="1">
        <v>0</v>
      </c>
      <c r="GN27" s="1">
        <v>0</v>
      </c>
      <c r="GO27" s="1">
        <v>0</v>
      </c>
      <c r="GP27" s="1">
        <v>0</v>
      </c>
      <c r="GQ27" s="1">
        <v>0</v>
      </c>
      <c r="GR27" s="1">
        <v>0</v>
      </c>
      <c r="GS27" s="1">
        <v>0</v>
      </c>
    </row>
    <row r="28" spans="1:201" x14ac:dyDescent="0.25">
      <c r="A28" s="36" t="s">
        <v>4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</row>
    <row r="29" spans="1:201" x14ac:dyDescent="0.25">
      <c r="A29" s="1" t="s">
        <v>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2">
        <v>0</v>
      </c>
      <c r="CD29" s="2">
        <v>0</v>
      </c>
      <c r="CE29" s="2">
        <v>0</v>
      </c>
      <c r="CF29" s="2">
        <v>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2">
        <v>0</v>
      </c>
      <c r="CT29" s="2">
        <v>0</v>
      </c>
      <c r="CU29" s="2">
        <v>0</v>
      </c>
      <c r="CV29" s="2">
        <v>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2">
        <v>0</v>
      </c>
      <c r="DJ29" s="2">
        <v>0</v>
      </c>
      <c r="DK29" s="2">
        <v>0</v>
      </c>
      <c r="DL29" s="2">
        <v>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2">
        <v>0</v>
      </c>
      <c r="DZ29" s="2">
        <v>0</v>
      </c>
      <c r="EA29" s="2">
        <v>0</v>
      </c>
      <c r="EB29" s="2">
        <v>0</v>
      </c>
      <c r="EC29" s="2">
        <v>0</v>
      </c>
      <c r="ED29" s="2">
        <v>0</v>
      </c>
      <c r="EE29" s="2">
        <v>0</v>
      </c>
      <c r="EF29" s="2">
        <v>0</v>
      </c>
      <c r="EG29" s="2">
        <v>0</v>
      </c>
      <c r="EH29" s="2">
        <v>0</v>
      </c>
      <c r="EI29" s="2">
        <v>0</v>
      </c>
      <c r="EJ29" s="2">
        <v>0</v>
      </c>
      <c r="EK29" s="2">
        <v>0</v>
      </c>
      <c r="EL29" s="2">
        <v>0</v>
      </c>
      <c r="EM29" s="2">
        <v>0</v>
      </c>
      <c r="EN29" s="2">
        <v>0</v>
      </c>
      <c r="EO29" s="2">
        <v>0</v>
      </c>
      <c r="EP29" s="2">
        <v>0</v>
      </c>
      <c r="EQ29" s="2">
        <v>0</v>
      </c>
      <c r="ER29" s="2">
        <v>0</v>
      </c>
      <c r="ES29" s="2">
        <v>0</v>
      </c>
      <c r="ET29" s="2">
        <v>0</v>
      </c>
      <c r="EU29" s="2">
        <v>0</v>
      </c>
      <c r="EV29" s="2">
        <v>0</v>
      </c>
      <c r="EW29" s="2">
        <v>0</v>
      </c>
      <c r="EX29" s="2">
        <v>0</v>
      </c>
      <c r="EY29" s="2">
        <v>0</v>
      </c>
      <c r="EZ29" s="2">
        <v>0</v>
      </c>
      <c r="FA29" s="2">
        <v>0</v>
      </c>
      <c r="FB29" s="2">
        <v>0</v>
      </c>
      <c r="FC29" s="2">
        <v>0</v>
      </c>
      <c r="FD29" s="2">
        <v>0</v>
      </c>
      <c r="FE29" s="2">
        <v>0</v>
      </c>
      <c r="FF29" s="2">
        <v>0</v>
      </c>
      <c r="FG29" s="2">
        <v>0</v>
      </c>
      <c r="FH29" s="2">
        <v>0</v>
      </c>
      <c r="FI29" s="2">
        <v>0</v>
      </c>
      <c r="FJ29" s="2">
        <v>0</v>
      </c>
      <c r="FK29" s="2">
        <v>0</v>
      </c>
      <c r="FL29" s="2">
        <v>0</v>
      </c>
      <c r="FM29" s="2">
        <v>0</v>
      </c>
      <c r="FN29" s="2">
        <v>0</v>
      </c>
      <c r="FO29" s="2">
        <v>0</v>
      </c>
      <c r="FP29" s="2">
        <v>0</v>
      </c>
      <c r="FQ29" s="2">
        <v>0</v>
      </c>
      <c r="FR29" s="2">
        <v>0</v>
      </c>
      <c r="FS29" s="2">
        <v>0</v>
      </c>
      <c r="FT29" s="2">
        <v>0</v>
      </c>
      <c r="FU29" s="2">
        <v>0</v>
      </c>
      <c r="FV29" s="2">
        <v>0</v>
      </c>
      <c r="FW29" s="2">
        <v>0</v>
      </c>
      <c r="FX29" s="2">
        <v>0</v>
      </c>
      <c r="FY29" s="2">
        <v>0</v>
      </c>
      <c r="FZ29" s="2">
        <v>0</v>
      </c>
      <c r="GA29" s="2">
        <v>0</v>
      </c>
      <c r="GB29" s="2">
        <v>0</v>
      </c>
      <c r="GC29" s="2">
        <v>0</v>
      </c>
      <c r="GD29" s="2">
        <v>0</v>
      </c>
      <c r="GE29" s="2">
        <v>0</v>
      </c>
      <c r="GF29" s="2">
        <v>0</v>
      </c>
      <c r="GG29" s="2">
        <v>0</v>
      </c>
      <c r="GH29" s="2">
        <v>0</v>
      </c>
      <c r="GI29" s="2">
        <v>0</v>
      </c>
      <c r="GJ29" s="2">
        <v>0</v>
      </c>
      <c r="GK29" s="2">
        <v>0</v>
      </c>
      <c r="GL29" s="2">
        <v>0</v>
      </c>
      <c r="GM29" s="2">
        <v>0</v>
      </c>
      <c r="GN29" s="2">
        <v>0</v>
      </c>
      <c r="GO29" s="2">
        <v>0</v>
      </c>
      <c r="GP29" s="2">
        <v>0</v>
      </c>
      <c r="GQ29" s="2">
        <v>0</v>
      </c>
      <c r="GR29" s="2">
        <v>0</v>
      </c>
      <c r="GS29" s="2">
        <v>0</v>
      </c>
    </row>
    <row r="30" spans="1:201" x14ac:dyDescent="0.25">
      <c r="A30" s="1" t="s">
        <v>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2">
        <v>0</v>
      </c>
      <c r="CD30" s="2">
        <v>0</v>
      </c>
      <c r="CE30" s="2">
        <v>0</v>
      </c>
      <c r="CF30" s="2">
        <v>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2">
        <v>0</v>
      </c>
      <c r="CT30" s="2">
        <v>0</v>
      </c>
      <c r="CU30" s="2">
        <v>0</v>
      </c>
      <c r="CV30" s="2">
        <v>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2">
        <v>0</v>
      </c>
      <c r="DJ30" s="2">
        <v>0</v>
      </c>
      <c r="DK30" s="2">
        <v>0</v>
      </c>
      <c r="DL30" s="2">
        <v>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2">
        <v>0</v>
      </c>
      <c r="DZ30" s="2">
        <v>0</v>
      </c>
      <c r="EA30" s="2">
        <v>0</v>
      </c>
      <c r="EB30" s="2">
        <v>0</v>
      </c>
      <c r="EC30" s="2">
        <v>0</v>
      </c>
      <c r="ED30" s="2">
        <v>0</v>
      </c>
      <c r="EE30" s="2">
        <v>0</v>
      </c>
      <c r="EF30" s="2">
        <v>0</v>
      </c>
      <c r="EG30" s="2">
        <v>0</v>
      </c>
      <c r="EH30" s="2">
        <v>0</v>
      </c>
      <c r="EI30" s="2">
        <v>0</v>
      </c>
      <c r="EJ30" s="2">
        <v>0</v>
      </c>
      <c r="EK30" s="2">
        <v>0</v>
      </c>
      <c r="EL30" s="2">
        <v>0</v>
      </c>
      <c r="EM30" s="2">
        <v>0</v>
      </c>
      <c r="EN30" s="2">
        <v>0</v>
      </c>
      <c r="EO30" s="2">
        <v>0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0</v>
      </c>
      <c r="EV30" s="2">
        <v>0</v>
      </c>
      <c r="EW30" s="2">
        <v>0</v>
      </c>
      <c r="EX30" s="2">
        <v>0</v>
      </c>
      <c r="EY30" s="2">
        <v>0</v>
      </c>
      <c r="EZ30" s="2">
        <v>0</v>
      </c>
      <c r="FA30" s="2">
        <v>0</v>
      </c>
      <c r="FB30" s="2">
        <v>0</v>
      </c>
      <c r="FC30" s="2">
        <v>0</v>
      </c>
      <c r="FD30" s="2">
        <v>0</v>
      </c>
      <c r="FE30" s="2">
        <v>0</v>
      </c>
      <c r="FF30" s="2">
        <v>0</v>
      </c>
      <c r="FG30" s="2">
        <v>0</v>
      </c>
      <c r="FH30" s="2">
        <v>0</v>
      </c>
      <c r="FI30" s="2">
        <v>0</v>
      </c>
      <c r="FJ30" s="2">
        <v>0</v>
      </c>
      <c r="FK30" s="2">
        <v>0</v>
      </c>
      <c r="FL30" s="2">
        <v>0</v>
      </c>
      <c r="FM30" s="2">
        <v>0</v>
      </c>
      <c r="FN30" s="2">
        <v>0</v>
      </c>
      <c r="FO30" s="2">
        <v>0</v>
      </c>
      <c r="FP30" s="2">
        <v>0</v>
      </c>
      <c r="FQ30" s="2">
        <v>0</v>
      </c>
      <c r="FR30" s="2">
        <v>0</v>
      </c>
      <c r="FS30" s="2">
        <v>0</v>
      </c>
      <c r="FT30" s="2">
        <v>0</v>
      </c>
      <c r="FU30" s="2">
        <v>0</v>
      </c>
      <c r="FV30" s="2">
        <v>0</v>
      </c>
      <c r="FW30" s="2">
        <v>0</v>
      </c>
      <c r="FX30" s="2">
        <v>0</v>
      </c>
      <c r="FY30" s="2">
        <v>0</v>
      </c>
      <c r="FZ30" s="2">
        <v>0</v>
      </c>
      <c r="GA30" s="2">
        <v>0</v>
      </c>
      <c r="GB30" s="2">
        <v>0</v>
      </c>
      <c r="GC30" s="2">
        <v>0</v>
      </c>
      <c r="GD30" s="2">
        <v>0</v>
      </c>
      <c r="GE30" s="2">
        <v>0</v>
      </c>
      <c r="GF30" s="2">
        <v>0</v>
      </c>
      <c r="GG30" s="2">
        <v>0</v>
      </c>
      <c r="GH30" s="2">
        <v>0</v>
      </c>
      <c r="GI30" s="2">
        <v>0</v>
      </c>
      <c r="GJ30" s="2">
        <v>0</v>
      </c>
      <c r="GK30" s="2">
        <v>0</v>
      </c>
      <c r="GL30" s="2">
        <v>0</v>
      </c>
      <c r="GM30" s="2">
        <v>0</v>
      </c>
      <c r="GN30" s="2">
        <v>0</v>
      </c>
      <c r="GO30" s="2">
        <v>0</v>
      </c>
      <c r="GP30" s="2">
        <v>0</v>
      </c>
      <c r="GQ30" s="2">
        <v>0</v>
      </c>
      <c r="GR30" s="2">
        <v>0</v>
      </c>
      <c r="GS30" s="2">
        <v>0</v>
      </c>
    </row>
    <row r="31" spans="1:201" x14ac:dyDescent="0.25">
      <c r="A31" s="1" t="s">
        <v>7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2">
        <v>0</v>
      </c>
      <c r="CD31" s="2">
        <v>0</v>
      </c>
      <c r="CE31" s="2">
        <v>0</v>
      </c>
      <c r="CF31" s="2">
        <v>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2">
        <v>0</v>
      </c>
      <c r="CT31" s="2">
        <v>0</v>
      </c>
      <c r="CU31" s="2">
        <v>0</v>
      </c>
      <c r="CV31" s="2">
        <v>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2">
        <v>0</v>
      </c>
      <c r="DJ31" s="2">
        <v>0</v>
      </c>
      <c r="DK31" s="2">
        <v>0</v>
      </c>
      <c r="DL31" s="2">
        <v>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2">
        <v>0</v>
      </c>
      <c r="DZ31" s="2">
        <v>0</v>
      </c>
      <c r="EA31" s="2">
        <v>0</v>
      </c>
      <c r="EB31" s="2">
        <v>0</v>
      </c>
      <c r="EC31" s="2">
        <v>0</v>
      </c>
      <c r="ED31" s="2">
        <v>0</v>
      </c>
      <c r="EE31" s="2">
        <v>0</v>
      </c>
      <c r="EF31" s="2">
        <v>0</v>
      </c>
      <c r="EG31" s="2">
        <v>0</v>
      </c>
      <c r="EH31" s="2">
        <v>0</v>
      </c>
      <c r="EI31" s="2">
        <v>0</v>
      </c>
      <c r="EJ31" s="2">
        <v>0</v>
      </c>
      <c r="EK31" s="2">
        <v>0</v>
      </c>
      <c r="EL31" s="2">
        <v>0</v>
      </c>
      <c r="EM31" s="2">
        <v>0</v>
      </c>
      <c r="EN31" s="2">
        <v>0</v>
      </c>
      <c r="EO31" s="2">
        <v>0</v>
      </c>
      <c r="EP31" s="2">
        <v>0</v>
      </c>
      <c r="EQ31" s="2">
        <v>0</v>
      </c>
      <c r="ER31" s="2">
        <v>0</v>
      </c>
      <c r="ES31" s="2">
        <v>0</v>
      </c>
      <c r="ET31" s="2">
        <v>0</v>
      </c>
      <c r="EU31" s="2">
        <v>0</v>
      </c>
      <c r="EV31" s="2">
        <v>0</v>
      </c>
      <c r="EW31" s="2">
        <v>0</v>
      </c>
      <c r="EX31" s="2">
        <v>0</v>
      </c>
      <c r="EY31" s="2">
        <v>0</v>
      </c>
      <c r="EZ31" s="2">
        <v>0</v>
      </c>
      <c r="FA31" s="2">
        <v>0</v>
      </c>
      <c r="FB31" s="2">
        <v>0</v>
      </c>
      <c r="FC31" s="2">
        <v>0</v>
      </c>
      <c r="FD31" s="2">
        <v>0</v>
      </c>
      <c r="FE31" s="2">
        <v>0</v>
      </c>
      <c r="FF31" s="2">
        <v>0</v>
      </c>
      <c r="FG31" s="2">
        <v>0</v>
      </c>
      <c r="FH31" s="2">
        <v>0</v>
      </c>
      <c r="FI31" s="2">
        <v>0</v>
      </c>
      <c r="FJ31" s="2">
        <v>0</v>
      </c>
      <c r="FK31" s="2">
        <v>0</v>
      </c>
      <c r="FL31" s="2">
        <v>0</v>
      </c>
      <c r="FM31" s="2">
        <v>0</v>
      </c>
      <c r="FN31" s="2">
        <v>0</v>
      </c>
      <c r="FO31" s="2">
        <v>0</v>
      </c>
      <c r="FP31" s="2">
        <v>0</v>
      </c>
      <c r="FQ31" s="2">
        <v>0</v>
      </c>
      <c r="FR31" s="2">
        <v>0</v>
      </c>
      <c r="FS31" s="2">
        <v>0</v>
      </c>
      <c r="FT31" s="2">
        <v>0</v>
      </c>
      <c r="FU31" s="2">
        <v>0</v>
      </c>
      <c r="FV31" s="2">
        <v>0</v>
      </c>
      <c r="FW31" s="2">
        <v>0</v>
      </c>
      <c r="FX31" s="2">
        <v>0</v>
      </c>
      <c r="FY31" s="2">
        <v>0</v>
      </c>
      <c r="FZ31" s="2">
        <v>0</v>
      </c>
      <c r="GA31" s="2">
        <v>0</v>
      </c>
      <c r="GB31" s="2">
        <v>0</v>
      </c>
      <c r="GC31" s="2">
        <v>0</v>
      </c>
      <c r="GD31" s="2">
        <v>0</v>
      </c>
      <c r="GE31" s="2">
        <v>0</v>
      </c>
      <c r="GF31" s="2">
        <v>0</v>
      </c>
      <c r="GG31" s="2">
        <v>0</v>
      </c>
      <c r="GH31" s="2">
        <v>0</v>
      </c>
      <c r="GI31" s="2">
        <v>0</v>
      </c>
      <c r="GJ31" s="2">
        <v>0</v>
      </c>
      <c r="GK31" s="2">
        <v>0</v>
      </c>
      <c r="GL31" s="2">
        <v>0</v>
      </c>
      <c r="GM31" s="2">
        <v>0</v>
      </c>
      <c r="GN31" s="2">
        <v>0</v>
      </c>
      <c r="GO31" s="2">
        <v>0</v>
      </c>
      <c r="GP31" s="2">
        <v>0</v>
      </c>
      <c r="GQ31" s="2">
        <v>0</v>
      </c>
      <c r="GR31" s="2">
        <v>0</v>
      </c>
      <c r="GS31" s="2">
        <v>0</v>
      </c>
    </row>
    <row r="32" spans="1:201" x14ac:dyDescent="0.25">
      <c r="A32" s="1" t="s">
        <v>8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">
        <v>0</v>
      </c>
      <c r="EF32" s="1">
        <v>0</v>
      </c>
      <c r="EG32" s="1">
        <v>0</v>
      </c>
      <c r="EH32" s="1">
        <v>0</v>
      </c>
      <c r="EI32" s="1">
        <v>0</v>
      </c>
      <c r="EJ32" s="1">
        <v>0</v>
      </c>
      <c r="EK32" s="1">
        <v>0</v>
      </c>
      <c r="EL32" s="1">
        <v>0</v>
      </c>
      <c r="EM32" s="1">
        <v>0</v>
      </c>
      <c r="EN32" s="1">
        <v>0</v>
      </c>
      <c r="EO32" s="1">
        <v>0</v>
      </c>
      <c r="EP32" s="1">
        <v>0</v>
      </c>
      <c r="EQ32" s="1">
        <v>0</v>
      </c>
      <c r="ER32" s="1">
        <v>0</v>
      </c>
      <c r="ES32" s="1">
        <v>0</v>
      </c>
      <c r="ET32" s="1">
        <v>0</v>
      </c>
      <c r="EU32" s="1">
        <v>0</v>
      </c>
      <c r="EV32" s="1">
        <v>0</v>
      </c>
      <c r="EW32" s="1">
        <v>0</v>
      </c>
      <c r="EX32" s="1">
        <v>0</v>
      </c>
      <c r="EY32" s="1">
        <v>0</v>
      </c>
      <c r="EZ32" s="1">
        <v>0</v>
      </c>
      <c r="FA32" s="1">
        <v>0</v>
      </c>
      <c r="FB32" s="1">
        <v>0</v>
      </c>
      <c r="FC32" s="1">
        <v>0</v>
      </c>
      <c r="FD32" s="1">
        <v>0</v>
      </c>
      <c r="FE32" s="1">
        <v>0</v>
      </c>
      <c r="FF32" s="1">
        <v>0</v>
      </c>
      <c r="FG32" s="1">
        <v>0</v>
      </c>
      <c r="FH32" s="1">
        <v>0</v>
      </c>
      <c r="FI32" s="1">
        <v>0</v>
      </c>
      <c r="FJ32" s="1">
        <v>0</v>
      </c>
      <c r="FK32" s="1">
        <v>0</v>
      </c>
      <c r="FL32" s="1">
        <v>0</v>
      </c>
      <c r="FM32" s="1">
        <v>0</v>
      </c>
      <c r="FN32" s="1">
        <v>0</v>
      </c>
      <c r="FO32" s="1">
        <v>0</v>
      </c>
      <c r="FP32" s="1">
        <v>0</v>
      </c>
      <c r="FQ32" s="1">
        <v>0</v>
      </c>
      <c r="FR32" s="1">
        <v>0</v>
      </c>
      <c r="FS32" s="1">
        <v>0</v>
      </c>
      <c r="FT32" s="1">
        <v>0</v>
      </c>
      <c r="FU32" s="1">
        <v>0</v>
      </c>
      <c r="FV32" s="1">
        <v>0</v>
      </c>
      <c r="FW32" s="1">
        <v>0</v>
      </c>
      <c r="FX32" s="1">
        <v>0</v>
      </c>
      <c r="FY32" s="1">
        <v>0</v>
      </c>
      <c r="FZ32" s="1">
        <v>0</v>
      </c>
      <c r="GA32" s="1">
        <v>0</v>
      </c>
      <c r="GB32" s="1">
        <v>0</v>
      </c>
      <c r="GC32" s="1">
        <v>0</v>
      </c>
      <c r="GD32" s="1">
        <v>0</v>
      </c>
      <c r="GE32" s="1">
        <v>0</v>
      </c>
      <c r="GF32" s="1">
        <v>0</v>
      </c>
      <c r="GG32" s="1">
        <v>0</v>
      </c>
      <c r="GH32" s="1">
        <v>0</v>
      </c>
      <c r="GI32" s="1">
        <v>0</v>
      </c>
      <c r="GJ32" s="1">
        <v>0</v>
      </c>
      <c r="GK32" s="1">
        <v>0</v>
      </c>
      <c r="GL32" s="1">
        <v>0</v>
      </c>
      <c r="GM32" s="1">
        <v>0</v>
      </c>
      <c r="GN32" s="1">
        <v>0</v>
      </c>
      <c r="GO32" s="1">
        <v>0</v>
      </c>
      <c r="GP32" s="1">
        <v>0</v>
      </c>
      <c r="GQ32" s="1">
        <v>0</v>
      </c>
      <c r="GR32" s="1">
        <v>0</v>
      </c>
      <c r="GS32" s="1">
        <v>0</v>
      </c>
    </row>
    <row r="33" spans="1:201" x14ac:dyDescent="0.25">
      <c r="A33" s="1" t="s">
        <v>15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EA33" s="1">
        <v>0</v>
      </c>
      <c r="EB33" s="1">
        <v>0</v>
      </c>
      <c r="EC33" s="1">
        <v>0</v>
      </c>
      <c r="ED33" s="1">
        <v>0</v>
      </c>
      <c r="EE33" s="1">
        <v>0</v>
      </c>
      <c r="EF33" s="1">
        <v>0</v>
      </c>
      <c r="EG33" s="1">
        <v>0</v>
      </c>
      <c r="EH33" s="1">
        <v>0</v>
      </c>
      <c r="EI33" s="1">
        <v>0</v>
      </c>
      <c r="EJ33" s="1">
        <v>0</v>
      </c>
      <c r="EK33" s="1">
        <v>0</v>
      </c>
      <c r="EL33" s="1">
        <v>0</v>
      </c>
      <c r="EM33" s="1">
        <v>0</v>
      </c>
      <c r="EN33" s="1">
        <v>0</v>
      </c>
      <c r="EO33" s="1">
        <v>0</v>
      </c>
      <c r="EP33" s="1">
        <v>0</v>
      </c>
      <c r="EQ33" s="1">
        <v>0</v>
      </c>
      <c r="ER33" s="1">
        <v>0</v>
      </c>
      <c r="ES33" s="1">
        <v>0</v>
      </c>
      <c r="ET33" s="1">
        <v>0</v>
      </c>
      <c r="EU33" s="1">
        <v>0</v>
      </c>
      <c r="EV33" s="1">
        <v>0</v>
      </c>
      <c r="EW33" s="1">
        <v>0</v>
      </c>
      <c r="EX33" s="1">
        <v>0</v>
      </c>
      <c r="EY33" s="1">
        <v>0</v>
      </c>
      <c r="EZ33" s="1">
        <v>0</v>
      </c>
      <c r="FA33" s="1">
        <v>0</v>
      </c>
      <c r="FB33" s="1">
        <v>0</v>
      </c>
      <c r="FC33" s="1">
        <v>0</v>
      </c>
      <c r="FD33" s="1">
        <v>0</v>
      </c>
      <c r="FE33" s="1">
        <v>0</v>
      </c>
      <c r="FF33" s="1">
        <v>0</v>
      </c>
      <c r="FG33" s="1">
        <v>0</v>
      </c>
      <c r="FH33" s="1">
        <v>0</v>
      </c>
      <c r="FI33" s="1">
        <v>0</v>
      </c>
      <c r="FJ33" s="1">
        <v>0</v>
      </c>
      <c r="FK33" s="1">
        <v>0</v>
      </c>
      <c r="FL33" s="1">
        <v>0</v>
      </c>
      <c r="FM33" s="1">
        <v>0</v>
      </c>
      <c r="FN33" s="1">
        <v>0</v>
      </c>
      <c r="FO33" s="1">
        <v>0</v>
      </c>
      <c r="FP33" s="1">
        <v>0</v>
      </c>
      <c r="FQ33" s="1">
        <v>0</v>
      </c>
      <c r="FR33" s="1">
        <v>0</v>
      </c>
      <c r="FS33" s="1">
        <v>0</v>
      </c>
      <c r="FT33" s="1">
        <v>0</v>
      </c>
      <c r="FU33" s="1">
        <v>0</v>
      </c>
      <c r="FV33" s="1">
        <v>0</v>
      </c>
      <c r="FW33" s="1">
        <v>0</v>
      </c>
      <c r="FX33" s="1">
        <v>0</v>
      </c>
      <c r="FY33" s="1">
        <v>0</v>
      </c>
      <c r="FZ33" s="1">
        <v>0</v>
      </c>
      <c r="GA33" s="1">
        <v>0</v>
      </c>
      <c r="GB33" s="1">
        <v>0</v>
      </c>
      <c r="GC33" s="1">
        <v>0</v>
      </c>
      <c r="GD33" s="1">
        <v>0</v>
      </c>
      <c r="GE33" s="1">
        <v>0</v>
      </c>
      <c r="GF33" s="1">
        <v>0</v>
      </c>
      <c r="GG33" s="1">
        <v>0</v>
      </c>
      <c r="GH33" s="1">
        <v>0</v>
      </c>
      <c r="GI33" s="1">
        <v>0</v>
      </c>
      <c r="GJ33" s="1">
        <v>0</v>
      </c>
      <c r="GK33" s="1">
        <v>0</v>
      </c>
      <c r="GL33" s="1">
        <v>0</v>
      </c>
      <c r="GM33" s="1">
        <v>0</v>
      </c>
      <c r="GN33" s="1">
        <v>0</v>
      </c>
      <c r="GO33" s="1">
        <v>0</v>
      </c>
      <c r="GP33" s="1">
        <v>0</v>
      </c>
      <c r="GQ33" s="1">
        <v>0</v>
      </c>
      <c r="GR33" s="1">
        <v>0</v>
      </c>
      <c r="GS33" s="1">
        <v>0</v>
      </c>
    </row>
    <row r="34" spans="1:201" x14ac:dyDescent="0.25">
      <c r="A34" s="1" t="s">
        <v>24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EA34" s="1">
        <v>0</v>
      </c>
      <c r="EB34" s="1">
        <v>0</v>
      </c>
      <c r="EC34" s="1">
        <v>0</v>
      </c>
      <c r="ED34" s="1">
        <v>0</v>
      </c>
      <c r="EE34" s="1">
        <v>0</v>
      </c>
      <c r="EF34" s="1">
        <v>0</v>
      </c>
      <c r="EG34" s="1">
        <v>0</v>
      </c>
      <c r="EH34" s="1">
        <v>0</v>
      </c>
      <c r="EI34" s="1">
        <v>0</v>
      </c>
      <c r="EJ34" s="1">
        <v>0</v>
      </c>
      <c r="EK34" s="1">
        <v>0</v>
      </c>
      <c r="EL34" s="1">
        <v>0</v>
      </c>
      <c r="EM34" s="1">
        <v>0</v>
      </c>
      <c r="EN34" s="1">
        <v>0</v>
      </c>
      <c r="EO34" s="1">
        <v>0</v>
      </c>
      <c r="EP34" s="1">
        <v>0</v>
      </c>
      <c r="EQ34" s="1">
        <v>0</v>
      </c>
      <c r="ER34" s="1">
        <v>0</v>
      </c>
      <c r="ES34" s="1">
        <v>0</v>
      </c>
      <c r="ET34" s="1">
        <v>0</v>
      </c>
      <c r="EU34" s="1">
        <v>0</v>
      </c>
      <c r="EV34" s="1">
        <v>0</v>
      </c>
      <c r="EW34" s="1">
        <v>0</v>
      </c>
      <c r="EX34" s="1">
        <v>0</v>
      </c>
      <c r="EY34" s="1">
        <v>0</v>
      </c>
      <c r="EZ34" s="1">
        <v>0</v>
      </c>
      <c r="FA34" s="1">
        <v>0</v>
      </c>
      <c r="FB34" s="1">
        <v>0</v>
      </c>
      <c r="FC34" s="1">
        <v>0</v>
      </c>
      <c r="FD34" s="1">
        <v>0</v>
      </c>
      <c r="FE34" s="1">
        <v>0</v>
      </c>
      <c r="FF34" s="1">
        <v>0</v>
      </c>
      <c r="FG34" s="1">
        <v>0</v>
      </c>
      <c r="FH34" s="1">
        <v>0</v>
      </c>
      <c r="FI34" s="1">
        <v>0</v>
      </c>
      <c r="FJ34" s="1">
        <v>0</v>
      </c>
      <c r="FK34" s="1">
        <v>0</v>
      </c>
      <c r="FL34" s="1">
        <v>0</v>
      </c>
      <c r="FM34" s="1">
        <v>0</v>
      </c>
      <c r="FN34" s="1">
        <v>0</v>
      </c>
      <c r="FO34" s="1">
        <v>0</v>
      </c>
      <c r="FP34" s="1">
        <v>0</v>
      </c>
      <c r="FQ34" s="1">
        <v>0</v>
      </c>
      <c r="FR34" s="1">
        <v>0</v>
      </c>
      <c r="FS34" s="1">
        <v>0</v>
      </c>
      <c r="FT34" s="1">
        <v>0</v>
      </c>
      <c r="FU34" s="1">
        <v>0</v>
      </c>
      <c r="FV34" s="1">
        <v>0</v>
      </c>
      <c r="FW34" s="1">
        <v>0</v>
      </c>
      <c r="FX34" s="1">
        <v>0</v>
      </c>
      <c r="FY34" s="1">
        <v>0</v>
      </c>
      <c r="FZ34" s="1">
        <v>0</v>
      </c>
      <c r="GA34" s="1">
        <v>0</v>
      </c>
      <c r="GB34" s="1">
        <v>0</v>
      </c>
      <c r="GC34" s="1">
        <v>0</v>
      </c>
      <c r="GD34" s="1">
        <v>0</v>
      </c>
      <c r="GE34" s="1">
        <v>0</v>
      </c>
      <c r="GF34" s="1">
        <v>0</v>
      </c>
      <c r="GG34" s="1">
        <v>0</v>
      </c>
      <c r="GH34" s="1">
        <v>0</v>
      </c>
      <c r="GI34" s="1">
        <v>0</v>
      </c>
      <c r="GJ34" s="1">
        <v>0</v>
      </c>
      <c r="GK34" s="1">
        <v>0</v>
      </c>
      <c r="GL34" s="1">
        <v>0</v>
      </c>
      <c r="GM34" s="1">
        <v>0</v>
      </c>
      <c r="GN34" s="1">
        <v>0</v>
      </c>
      <c r="GO34" s="1">
        <v>0</v>
      </c>
      <c r="GP34" s="1">
        <v>0</v>
      </c>
      <c r="GQ34" s="1">
        <v>0</v>
      </c>
      <c r="GR34" s="1">
        <v>0</v>
      </c>
      <c r="GS34" s="1">
        <v>0</v>
      </c>
    </row>
    <row r="35" spans="1:201" x14ac:dyDescent="0.25">
      <c r="A35" s="1" t="s">
        <v>25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EA35" s="1">
        <v>0</v>
      </c>
      <c r="EB35" s="1">
        <v>0</v>
      </c>
      <c r="EC35" s="1">
        <v>0</v>
      </c>
      <c r="ED35" s="1">
        <v>0</v>
      </c>
      <c r="EE35" s="1">
        <v>0</v>
      </c>
      <c r="EF35" s="1">
        <v>0</v>
      </c>
      <c r="EG35" s="1">
        <v>0</v>
      </c>
      <c r="EH35" s="1">
        <v>0</v>
      </c>
      <c r="EI35" s="1">
        <v>0</v>
      </c>
      <c r="EJ35" s="1">
        <v>0</v>
      </c>
      <c r="EK35" s="1">
        <v>0</v>
      </c>
      <c r="EL35" s="1">
        <v>0</v>
      </c>
      <c r="EM35" s="1">
        <v>0</v>
      </c>
      <c r="EN35" s="1">
        <v>0</v>
      </c>
      <c r="EO35" s="1">
        <v>0</v>
      </c>
      <c r="EP35" s="1">
        <v>0</v>
      </c>
      <c r="EQ35" s="1">
        <v>0</v>
      </c>
      <c r="ER35" s="1">
        <v>0</v>
      </c>
      <c r="ES35" s="1">
        <v>0</v>
      </c>
      <c r="ET35" s="1">
        <v>0</v>
      </c>
      <c r="EU35" s="1">
        <v>0</v>
      </c>
      <c r="EV35" s="1">
        <v>0</v>
      </c>
      <c r="EW35" s="1">
        <v>0</v>
      </c>
      <c r="EX35" s="1">
        <v>0</v>
      </c>
      <c r="EY35" s="1">
        <v>0</v>
      </c>
      <c r="EZ35" s="1">
        <v>0</v>
      </c>
      <c r="FA35" s="1">
        <v>0</v>
      </c>
      <c r="FB35" s="1">
        <v>0</v>
      </c>
      <c r="FC35" s="1">
        <v>0</v>
      </c>
      <c r="FD35" s="1">
        <v>0</v>
      </c>
      <c r="FE35" s="1">
        <v>0</v>
      </c>
      <c r="FF35" s="1">
        <v>0</v>
      </c>
      <c r="FG35" s="1">
        <v>0</v>
      </c>
      <c r="FH35" s="1">
        <v>0</v>
      </c>
      <c r="FI35" s="1">
        <v>0</v>
      </c>
      <c r="FJ35" s="1">
        <v>0</v>
      </c>
      <c r="FK35" s="1">
        <v>0</v>
      </c>
      <c r="FL35" s="1">
        <v>0</v>
      </c>
      <c r="FM35" s="1">
        <v>0</v>
      </c>
      <c r="FN35" s="1">
        <v>0</v>
      </c>
      <c r="FO35" s="1">
        <v>0</v>
      </c>
      <c r="FP35" s="1">
        <v>0</v>
      </c>
      <c r="FQ35" s="1">
        <v>0</v>
      </c>
      <c r="FR35" s="1">
        <v>0</v>
      </c>
      <c r="FS35" s="1">
        <v>0</v>
      </c>
      <c r="FT35" s="1">
        <v>0</v>
      </c>
      <c r="FU35" s="1">
        <v>0</v>
      </c>
      <c r="FV35" s="1">
        <v>0</v>
      </c>
      <c r="FW35" s="1">
        <v>0</v>
      </c>
      <c r="FX35" s="1">
        <v>0</v>
      </c>
      <c r="FY35" s="1">
        <v>0</v>
      </c>
      <c r="FZ35" s="1">
        <v>0</v>
      </c>
      <c r="GA35" s="1">
        <v>0</v>
      </c>
      <c r="GB35" s="1">
        <v>0</v>
      </c>
      <c r="GC35" s="1">
        <v>0</v>
      </c>
      <c r="GD35" s="1">
        <v>0</v>
      </c>
      <c r="GE35" s="1">
        <v>0</v>
      </c>
      <c r="GF35" s="1">
        <v>0</v>
      </c>
      <c r="GG35" s="1">
        <v>0</v>
      </c>
      <c r="GH35" s="1">
        <v>0</v>
      </c>
      <c r="GI35" s="1">
        <v>0</v>
      </c>
      <c r="GJ35" s="1">
        <v>0</v>
      </c>
      <c r="GK35" s="1">
        <v>0</v>
      </c>
      <c r="GL35" s="1">
        <v>0</v>
      </c>
      <c r="GM35" s="1">
        <v>0</v>
      </c>
      <c r="GN35" s="1">
        <v>0</v>
      </c>
      <c r="GO35" s="1">
        <v>0</v>
      </c>
      <c r="GP35" s="1">
        <v>0</v>
      </c>
      <c r="GQ35" s="1">
        <v>0</v>
      </c>
      <c r="GR35" s="1">
        <v>0</v>
      </c>
      <c r="GS35" s="1">
        <v>0</v>
      </c>
    </row>
    <row r="36" spans="1:201" x14ac:dyDescent="0.25">
      <c r="A36" s="1" t="s">
        <v>26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  <c r="DZ36" s="1">
        <v>0</v>
      </c>
      <c r="EA36" s="1">
        <v>0</v>
      </c>
      <c r="EB36" s="1">
        <v>0</v>
      </c>
      <c r="EC36" s="1">
        <v>0</v>
      </c>
      <c r="ED36" s="1">
        <v>0</v>
      </c>
      <c r="EE36" s="1">
        <v>0</v>
      </c>
      <c r="EF36" s="1">
        <v>0</v>
      </c>
      <c r="EG36" s="1">
        <v>0</v>
      </c>
      <c r="EH36" s="1">
        <v>0</v>
      </c>
      <c r="EI36" s="1">
        <v>0</v>
      </c>
      <c r="EJ36" s="1">
        <v>0</v>
      </c>
      <c r="EK36" s="1">
        <v>0</v>
      </c>
      <c r="EL36" s="1">
        <v>0</v>
      </c>
      <c r="EM36" s="1">
        <v>0</v>
      </c>
      <c r="EN36" s="1">
        <v>0</v>
      </c>
      <c r="EO36" s="1">
        <v>0</v>
      </c>
      <c r="EP36" s="1">
        <v>0</v>
      </c>
      <c r="EQ36" s="1">
        <v>0</v>
      </c>
      <c r="ER36" s="1">
        <v>0</v>
      </c>
      <c r="ES36" s="1">
        <v>0</v>
      </c>
      <c r="ET36" s="1">
        <v>0</v>
      </c>
      <c r="EU36" s="1">
        <v>0</v>
      </c>
      <c r="EV36" s="1">
        <v>0</v>
      </c>
      <c r="EW36" s="1">
        <v>0</v>
      </c>
      <c r="EX36" s="1">
        <v>0</v>
      </c>
      <c r="EY36" s="1">
        <v>0</v>
      </c>
      <c r="EZ36" s="1">
        <v>0</v>
      </c>
      <c r="FA36" s="1">
        <v>0</v>
      </c>
      <c r="FB36" s="1">
        <v>0</v>
      </c>
      <c r="FC36" s="1">
        <v>0</v>
      </c>
      <c r="FD36" s="1">
        <v>0</v>
      </c>
      <c r="FE36" s="1">
        <v>0</v>
      </c>
      <c r="FF36" s="1">
        <v>0</v>
      </c>
      <c r="FG36" s="1">
        <v>0</v>
      </c>
      <c r="FH36" s="1">
        <v>0</v>
      </c>
      <c r="FI36" s="1">
        <v>0</v>
      </c>
      <c r="FJ36" s="1">
        <v>0</v>
      </c>
      <c r="FK36" s="1">
        <v>0</v>
      </c>
      <c r="FL36" s="1">
        <v>0</v>
      </c>
      <c r="FM36" s="1">
        <v>0</v>
      </c>
      <c r="FN36" s="1">
        <v>0</v>
      </c>
      <c r="FO36" s="1">
        <v>0</v>
      </c>
      <c r="FP36" s="1">
        <v>0</v>
      </c>
      <c r="FQ36" s="1">
        <v>0</v>
      </c>
      <c r="FR36" s="1">
        <v>0</v>
      </c>
      <c r="FS36" s="1">
        <v>0</v>
      </c>
      <c r="FT36" s="1">
        <v>0</v>
      </c>
      <c r="FU36" s="1">
        <v>0</v>
      </c>
      <c r="FV36" s="1">
        <v>0</v>
      </c>
      <c r="FW36" s="1">
        <v>0</v>
      </c>
      <c r="FX36" s="1">
        <v>0</v>
      </c>
      <c r="FY36" s="1">
        <v>0</v>
      </c>
      <c r="FZ36" s="1">
        <v>0</v>
      </c>
      <c r="GA36" s="1">
        <v>0</v>
      </c>
      <c r="GB36" s="1">
        <v>0</v>
      </c>
      <c r="GC36" s="1">
        <v>0</v>
      </c>
      <c r="GD36" s="1">
        <v>0</v>
      </c>
      <c r="GE36" s="1">
        <v>0</v>
      </c>
      <c r="GF36" s="1">
        <v>0</v>
      </c>
      <c r="GG36" s="1">
        <v>0</v>
      </c>
      <c r="GH36" s="1">
        <v>0</v>
      </c>
      <c r="GI36" s="1">
        <v>0</v>
      </c>
      <c r="GJ36" s="1">
        <v>0</v>
      </c>
      <c r="GK36" s="1">
        <v>0</v>
      </c>
      <c r="GL36" s="1">
        <v>0</v>
      </c>
      <c r="GM36" s="1">
        <v>0</v>
      </c>
      <c r="GN36" s="1">
        <v>0</v>
      </c>
      <c r="GO36" s="1">
        <v>0</v>
      </c>
      <c r="GP36" s="1">
        <v>0</v>
      </c>
      <c r="GQ36" s="1">
        <v>0</v>
      </c>
      <c r="GR36" s="1">
        <v>0</v>
      </c>
      <c r="GS36" s="1">
        <v>0</v>
      </c>
    </row>
    <row r="39" spans="1:20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8"/>
      <c r="AH39" s="8"/>
      <c r="AI39" s="8"/>
      <c r="AJ39" s="8"/>
      <c r="AK39" s="8"/>
      <c r="AL39" s="8"/>
    </row>
    <row r="40" spans="1:20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8"/>
      <c r="AH40" s="8"/>
      <c r="AI40" s="8"/>
      <c r="AJ40" s="8"/>
      <c r="AK40" s="8"/>
      <c r="AL40" s="8"/>
    </row>
    <row r="41" spans="1:20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8"/>
      <c r="AH41" s="8"/>
      <c r="AI41" s="8"/>
      <c r="AJ41" s="8"/>
      <c r="AK41" s="8"/>
      <c r="AL41" s="8"/>
    </row>
    <row r="42" spans="1:20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8"/>
      <c r="AH42" s="8"/>
      <c r="AI42" s="8"/>
      <c r="AJ42" s="8"/>
      <c r="AK42" s="8"/>
      <c r="AL42" s="8"/>
    </row>
    <row r="43" spans="1:20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8"/>
      <c r="AH43" s="8"/>
      <c r="AI43" s="8"/>
      <c r="AJ43" s="8"/>
      <c r="AK43" s="8"/>
      <c r="AL43" s="8"/>
    </row>
    <row r="44" spans="1:20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8"/>
      <c r="AH44" s="8"/>
      <c r="AI44" s="8"/>
      <c r="AJ44" s="8"/>
      <c r="AK44" s="8"/>
      <c r="AL44" s="8"/>
    </row>
    <row r="45" spans="1:20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8"/>
      <c r="AH45" s="8"/>
      <c r="AI45" s="8"/>
      <c r="AJ45" s="8"/>
      <c r="AK45" s="8"/>
      <c r="AL45" s="8"/>
    </row>
    <row r="46" spans="1:20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8"/>
      <c r="AH46" s="8"/>
      <c r="AI46" s="8"/>
      <c r="AJ46" s="8"/>
      <c r="AK46" s="8"/>
      <c r="AL46" s="8"/>
    </row>
    <row r="47" spans="1:20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8"/>
      <c r="AH47" s="8"/>
      <c r="AI47" s="8"/>
      <c r="AJ47" s="8"/>
      <c r="AK47" s="8"/>
      <c r="AL47" s="8"/>
    </row>
    <row r="48" spans="1:20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8"/>
      <c r="AH48" s="8"/>
      <c r="AI48" s="8"/>
      <c r="AJ48" s="8"/>
      <c r="AK48" s="8"/>
      <c r="AL48" s="8"/>
    </row>
    <row r="49" spans="1:38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8"/>
      <c r="AH49" s="8"/>
      <c r="AI49" s="8"/>
      <c r="AJ49" s="8"/>
      <c r="AK49" s="8"/>
      <c r="AL49" s="8"/>
    </row>
    <row r="50" spans="1:38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8"/>
      <c r="AH50" s="8"/>
      <c r="AI50" s="8"/>
      <c r="AJ50" s="8"/>
      <c r="AK50" s="8"/>
      <c r="AL50" s="8"/>
    </row>
    <row r="51" spans="1:38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8"/>
      <c r="AH51" s="8"/>
      <c r="AI51" s="8"/>
      <c r="AJ51" s="8"/>
      <c r="AK51" s="8"/>
      <c r="AL51" s="8"/>
    </row>
    <row r="52" spans="1:38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8"/>
      <c r="AH52" s="8"/>
      <c r="AI52" s="8"/>
      <c r="AJ52" s="8"/>
      <c r="AK52" s="8"/>
      <c r="AL52" s="8"/>
    </row>
    <row r="53" spans="1:38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8"/>
      <c r="AH53" s="8"/>
      <c r="AI53" s="8"/>
      <c r="AJ53" s="8"/>
      <c r="AK53" s="8"/>
      <c r="AL53" s="8"/>
    </row>
    <row r="54" spans="1:38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8"/>
      <c r="AH54" s="8"/>
      <c r="AI54" s="8"/>
      <c r="AJ54" s="8"/>
      <c r="AK54" s="8"/>
      <c r="AL54" s="8"/>
    </row>
  </sheetData>
  <phoneticPr fontId="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main">
                <anchor moveWithCells="1" sizeWithCells="1">
                  <from>
                    <xdr:col>37</xdr:col>
                    <xdr:colOff>28575</xdr:colOff>
                    <xdr:row>2</xdr:row>
                    <xdr:rowOff>161925</xdr:rowOff>
                  </from>
                  <to>
                    <xdr:col>45</xdr:col>
                    <xdr:colOff>57150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MD36"/>
  <sheetViews>
    <sheetView topLeftCell="A4" workbookViewId="0">
      <selection activeCell="N33" sqref="N33"/>
    </sheetView>
  </sheetViews>
  <sheetFormatPr defaultRowHeight="15" x14ac:dyDescent="0.25"/>
  <cols>
    <col min="1" max="1" width="22.42578125" customWidth="1"/>
    <col min="2" max="2" width="6.42578125" customWidth="1"/>
    <col min="3" max="3" width="6.5703125" customWidth="1"/>
    <col min="4" max="4" width="4.7109375" customWidth="1"/>
    <col min="5" max="5" width="5.42578125" customWidth="1"/>
    <col min="6" max="6" width="4.85546875" customWidth="1"/>
    <col min="7" max="7" width="3.28515625" customWidth="1"/>
    <col min="8" max="8" width="4.7109375" customWidth="1"/>
    <col min="9" max="9" width="5" customWidth="1"/>
    <col min="10" max="10" width="6.7109375" customWidth="1"/>
    <col min="11" max="11" width="5.42578125" customWidth="1"/>
    <col min="12" max="12" width="4.85546875" customWidth="1"/>
    <col min="13" max="13" width="5.42578125" customWidth="1"/>
    <col min="14" max="14" width="4.28515625" customWidth="1"/>
    <col min="15" max="15" width="4.85546875" customWidth="1"/>
    <col min="16" max="16" width="5.5703125" customWidth="1"/>
    <col min="17" max="17" width="5" customWidth="1"/>
    <col min="18" max="18" width="5.140625" customWidth="1"/>
    <col min="19" max="19" width="5" customWidth="1"/>
    <col min="20" max="20" width="5.7109375" customWidth="1"/>
    <col min="21" max="21" width="3.28515625" customWidth="1"/>
    <col min="22" max="22" width="6.5703125" customWidth="1"/>
    <col min="23" max="23" width="4.7109375" customWidth="1"/>
    <col min="24" max="24" width="6" customWidth="1"/>
    <col min="25" max="25" width="6.140625" customWidth="1"/>
    <col min="26" max="26" width="5.5703125" customWidth="1"/>
    <col min="27" max="27" width="5.140625" customWidth="1"/>
    <col min="28" max="28" width="3.28515625" customWidth="1"/>
    <col min="29" max="29" width="4.7109375" customWidth="1"/>
    <col min="30" max="30" width="5.42578125" customWidth="1"/>
    <col min="31" max="31" width="5.28515625" customWidth="1"/>
    <col min="32" max="32" width="3.28515625" customWidth="1"/>
  </cols>
  <sheetData>
    <row r="1" spans="1:33" x14ac:dyDescent="0.25">
      <c r="A1" s="1" t="s">
        <v>33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 t="s">
        <v>34</v>
      </c>
    </row>
    <row r="2" spans="1:33" x14ac:dyDescent="0.25">
      <c r="A2" s="1" t="s">
        <v>42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f>SUM(B2:AF2)</f>
        <v>0</v>
      </c>
    </row>
    <row r="3" spans="1:33" x14ac:dyDescent="0.25">
      <c r="A3" s="1" t="s">
        <v>39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f t="shared" ref="AG3:AG6" si="0">SUM(B3:AF3)</f>
        <v>0</v>
      </c>
    </row>
    <row r="4" spans="1:33" x14ac:dyDescent="0.25">
      <c r="A4" s="1" t="s">
        <v>40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f t="shared" si="0"/>
        <v>0</v>
      </c>
    </row>
    <row r="5" spans="1:33" x14ac:dyDescent="0.25">
      <c r="A5" s="1" t="s">
        <v>41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f t="shared" si="0"/>
        <v>0</v>
      </c>
    </row>
    <row r="6" spans="1:33" x14ac:dyDescent="0.25">
      <c r="A6" s="1" t="s">
        <v>51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f t="shared" si="0"/>
        <v>0</v>
      </c>
    </row>
    <row r="7" spans="1:33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4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4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4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2" spans="1:342" x14ac:dyDescent="0.25">
      <c r="A22" s="1" t="s">
        <v>35</v>
      </c>
      <c r="B22" s="1">
        <v>1210</v>
      </c>
      <c r="C22" s="1">
        <v>1540</v>
      </c>
    </row>
    <row r="23" spans="1:342" x14ac:dyDescent="0.25">
      <c r="A23" s="1" t="s">
        <v>36</v>
      </c>
      <c r="B23" s="1"/>
      <c r="C23" s="1"/>
    </row>
    <row r="24" spans="1:342" x14ac:dyDescent="0.25">
      <c r="A24" s="1" t="s">
        <v>37</v>
      </c>
      <c r="B24" s="1"/>
      <c r="C24" s="1"/>
    </row>
    <row r="25" spans="1:342" x14ac:dyDescent="0.25">
      <c r="A25" s="1" t="s">
        <v>38</v>
      </c>
      <c r="B25" s="1"/>
      <c r="C25" s="1"/>
    </row>
    <row r="27" spans="1:342" x14ac:dyDescent="0.25">
      <c r="A27" s="1" t="s">
        <v>52</v>
      </c>
      <c r="B27" s="64">
        <v>1</v>
      </c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>
        <v>2</v>
      </c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>
        <v>3</v>
      </c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>
        <v>4</v>
      </c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>
        <v>5</v>
      </c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>
        <v>6</v>
      </c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>
        <v>7</v>
      </c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>
        <v>8</v>
      </c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>
        <v>9</v>
      </c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>
        <v>10</v>
      </c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>
        <v>11</v>
      </c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>
        <v>12</v>
      </c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>
        <v>13</v>
      </c>
      <c r="EE27" s="64"/>
      <c r="EF27" s="64"/>
      <c r="EG27" s="64"/>
      <c r="EH27" s="64"/>
      <c r="EI27" s="64"/>
      <c r="EJ27" s="64"/>
      <c r="EK27" s="64"/>
      <c r="EL27" s="64"/>
      <c r="EM27" s="64"/>
      <c r="EN27" s="64"/>
      <c r="EO27" s="64">
        <v>14</v>
      </c>
      <c r="EP27" s="64"/>
      <c r="EQ27" s="64"/>
      <c r="ER27" s="64"/>
      <c r="ES27" s="64"/>
      <c r="ET27" s="64"/>
      <c r="EU27" s="64"/>
      <c r="EV27" s="64"/>
      <c r="EW27" s="64"/>
      <c r="EX27" s="64"/>
      <c r="EY27" s="64"/>
      <c r="EZ27" s="64">
        <v>15</v>
      </c>
      <c r="FA27" s="64"/>
      <c r="FB27" s="64"/>
      <c r="FC27" s="64"/>
      <c r="FD27" s="64"/>
      <c r="FE27" s="64"/>
      <c r="FF27" s="64"/>
      <c r="FG27" s="64"/>
      <c r="FH27" s="64"/>
      <c r="FI27" s="64"/>
      <c r="FJ27" s="64"/>
      <c r="FK27" s="64">
        <v>16</v>
      </c>
      <c r="FL27" s="64"/>
      <c r="FM27" s="64"/>
      <c r="FN27" s="64"/>
      <c r="FO27" s="64"/>
      <c r="FP27" s="64"/>
      <c r="FQ27" s="64"/>
      <c r="FR27" s="64"/>
      <c r="FS27" s="64"/>
      <c r="FT27" s="64"/>
      <c r="FU27" s="64"/>
      <c r="FV27" s="64">
        <v>17</v>
      </c>
      <c r="FW27" s="64"/>
      <c r="FX27" s="64"/>
      <c r="FY27" s="64"/>
      <c r="FZ27" s="64"/>
      <c r="GA27" s="64"/>
      <c r="GB27" s="64"/>
      <c r="GC27" s="64"/>
      <c r="GD27" s="64"/>
      <c r="GE27" s="64"/>
      <c r="GF27" s="64"/>
      <c r="GG27" s="64">
        <v>18</v>
      </c>
      <c r="GH27" s="64"/>
      <c r="GI27" s="64"/>
      <c r="GJ27" s="64"/>
      <c r="GK27" s="64"/>
      <c r="GL27" s="64"/>
      <c r="GM27" s="64"/>
      <c r="GN27" s="64"/>
      <c r="GO27" s="64"/>
      <c r="GP27" s="64"/>
      <c r="GQ27" s="64"/>
      <c r="GR27" s="64">
        <v>19</v>
      </c>
      <c r="GS27" s="64"/>
      <c r="GT27" s="64"/>
      <c r="GU27" s="64"/>
      <c r="GV27" s="64"/>
      <c r="GW27" s="64"/>
      <c r="GX27" s="64"/>
      <c r="GY27" s="64"/>
      <c r="GZ27" s="64"/>
      <c r="HA27" s="64"/>
      <c r="HB27" s="64"/>
      <c r="HC27" s="64">
        <v>20</v>
      </c>
      <c r="HD27" s="64"/>
      <c r="HE27" s="64"/>
      <c r="HF27" s="64"/>
      <c r="HG27" s="64"/>
      <c r="HH27" s="64"/>
      <c r="HI27" s="64"/>
      <c r="HJ27" s="64"/>
      <c r="HK27" s="64"/>
      <c r="HL27" s="64"/>
      <c r="HM27" s="64"/>
      <c r="HN27" s="64">
        <v>21</v>
      </c>
      <c r="HO27" s="64"/>
      <c r="HP27" s="64"/>
      <c r="HQ27" s="64"/>
      <c r="HR27" s="64"/>
      <c r="HS27" s="64"/>
      <c r="HT27" s="64"/>
      <c r="HU27" s="64"/>
      <c r="HV27" s="64"/>
      <c r="HW27" s="64"/>
      <c r="HX27" s="64"/>
      <c r="HY27" s="64">
        <v>22</v>
      </c>
      <c r="HZ27" s="64"/>
      <c r="IA27" s="64"/>
      <c r="IB27" s="64"/>
      <c r="IC27" s="64"/>
      <c r="ID27" s="64"/>
      <c r="IE27" s="64"/>
      <c r="IF27" s="64"/>
      <c r="IG27" s="64"/>
      <c r="IH27" s="64"/>
      <c r="II27" s="64"/>
      <c r="IJ27" s="64">
        <v>23</v>
      </c>
      <c r="IK27" s="64"/>
      <c r="IL27" s="64"/>
      <c r="IM27" s="64"/>
      <c r="IN27" s="64"/>
      <c r="IO27" s="64"/>
      <c r="IP27" s="64"/>
      <c r="IQ27" s="64"/>
      <c r="IR27" s="64"/>
      <c r="IS27" s="64"/>
      <c r="IT27" s="64"/>
      <c r="IU27" s="64">
        <v>24</v>
      </c>
      <c r="IV27" s="64"/>
      <c r="IW27" s="64"/>
      <c r="IX27" s="64"/>
      <c r="IY27" s="64"/>
      <c r="IZ27" s="64"/>
      <c r="JA27" s="64"/>
      <c r="JB27" s="64"/>
      <c r="JC27" s="64"/>
      <c r="JD27" s="64"/>
      <c r="JE27" s="64"/>
      <c r="JF27" s="64">
        <v>25</v>
      </c>
      <c r="JG27" s="64"/>
      <c r="JH27" s="64"/>
      <c r="JI27" s="64"/>
      <c r="JJ27" s="64"/>
      <c r="JK27" s="64"/>
      <c r="JL27" s="64"/>
      <c r="JM27" s="64"/>
      <c r="JN27" s="64"/>
      <c r="JO27" s="64"/>
      <c r="JP27" s="64"/>
      <c r="JQ27" s="64">
        <v>26</v>
      </c>
      <c r="JR27" s="64"/>
      <c r="JS27" s="64"/>
      <c r="JT27" s="64"/>
      <c r="JU27" s="64"/>
      <c r="JV27" s="64"/>
      <c r="JW27" s="64"/>
      <c r="JX27" s="64"/>
      <c r="JY27" s="64"/>
      <c r="JZ27" s="64"/>
      <c r="KA27" s="64"/>
      <c r="KB27" s="64">
        <v>27</v>
      </c>
      <c r="KC27" s="64"/>
      <c r="KD27" s="64"/>
      <c r="KE27" s="64"/>
      <c r="KF27" s="64"/>
      <c r="KG27" s="64"/>
      <c r="KH27" s="64"/>
      <c r="KI27" s="64"/>
      <c r="KJ27" s="64"/>
      <c r="KK27" s="64"/>
      <c r="KL27" s="64"/>
      <c r="KM27" s="64">
        <v>28</v>
      </c>
      <c r="KN27" s="64"/>
      <c r="KO27" s="64"/>
      <c r="KP27" s="64"/>
      <c r="KQ27" s="64"/>
      <c r="KR27" s="64"/>
      <c r="KS27" s="64"/>
      <c r="KT27" s="64"/>
      <c r="KU27" s="64"/>
      <c r="KV27" s="64"/>
      <c r="KW27" s="64"/>
      <c r="KX27" s="64">
        <v>29</v>
      </c>
      <c r="KY27" s="64"/>
      <c r="KZ27" s="64"/>
      <c r="LA27" s="64"/>
      <c r="LB27" s="64"/>
      <c r="LC27" s="64"/>
      <c r="LD27" s="64"/>
      <c r="LE27" s="64"/>
      <c r="LF27" s="64"/>
      <c r="LG27" s="64"/>
      <c r="LH27" s="64"/>
      <c r="LI27" s="64">
        <v>30</v>
      </c>
      <c r="LJ27" s="64"/>
      <c r="LK27" s="64"/>
      <c r="LL27" s="64"/>
      <c r="LM27" s="64"/>
      <c r="LN27" s="64"/>
      <c r="LO27" s="64"/>
      <c r="LP27" s="64"/>
      <c r="LQ27" s="64"/>
      <c r="LR27" s="64"/>
      <c r="LS27" s="64"/>
      <c r="LT27" s="64">
        <v>31</v>
      </c>
      <c r="LU27" s="64"/>
      <c r="LV27" s="64"/>
      <c r="LW27" s="64"/>
      <c r="LX27" s="64"/>
      <c r="LY27" s="64"/>
      <c r="LZ27" s="64"/>
      <c r="MA27" s="64"/>
      <c r="MB27" s="64"/>
      <c r="MC27" s="64"/>
      <c r="MD27" s="64"/>
    </row>
    <row r="28" spans="1:342" x14ac:dyDescent="0.25">
      <c r="A28" s="1" t="s">
        <v>53</v>
      </c>
      <c r="B28" s="64">
        <v>1540</v>
      </c>
      <c r="C28" s="64"/>
      <c r="D28" s="64"/>
      <c r="E28" s="64"/>
      <c r="F28" s="64"/>
      <c r="G28" s="64">
        <v>1210</v>
      </c>
      <c r="H28" s="64"/>
      <c r="I28" s="64"/>
      <c r="J28" s="64"/>
      <c r="K28" s="64"/>
      <c r="L28" s="64" t="s">
        <v>54</v>
      </c>
      <c r="M28" s="64">
        <v>1540</v>
      </c>
      <c r="N28" s="64"/>
      <c r="O28" s="64"/>
      <c r="P28" s="64"/>
      <c r="Q28" s="64"/>
      <c r="R28" s="64">
        <v>1210</v>
      </c>
      <c r="S28" s="64"/>
      <c r="T28" s="64"/>
      <c r="U28" s="64"/>
      <c r="V28" s="64"/>
      <c r="W28" s="64" t="s">
        <v>54</v>
      </c>
      <c r="X28" s="64">
        <v>1540</v>
      </c>
      <c r="Y28" s="64"/>
      <c r="Z28" s="64"/>
      <c r="AA28" s="64"/>
      <c r="AB28" s="64"/>
      <c r="AC28" s="64">
        <v>1210</v>
      </c>
      <c r="AD28" s="64"/>
      <c r="AE28" s="64"/>
      <c r="AF28" s="64"/>
      <c r="AG28" s="64"/>
      <c r="AH28" s="64" t="s">
        <v>54</v>
      </c>
      <c r="AI28" s="64">
        <v>1540</v>
      </c>
      <c r="AJ28" s="64"/>
      <c r="AK28" s="64"/>
      <c r="AL28" s="64"/>
      <c r="AM28" s="64"/>
      <c r="AN28" s="64">
        <v>1210</v>
      </c>
      <c r="AO28" s="64"/>
      <c r="AP28" s="64"/>
      <c r="AQ28" s="64"/>
      <c r="AR28" s="64"/>
      <c r="AS28" s="64" t="s">
        <v>54</v>
      </c>
      <c r="AT28" s="64">
        <v>1540</v>
      </c>
      <c r="AU28" s="64"/>
      <c r="AV28" s="64"/>
      <c r="AW28" s="64"/>
      <c r="AX28" s="64"/>
      <c r="AY28" s="64">
        <v>1210</v>
      </c>
      <c r="AZ28" s="64"/>
      <c r="BA28" s="64"/>
      <c r="BB28" s="64"/>
      <c r="BC28" s="64"/>
      <c r="BD28" s="64" t="s">
        <v>54</v>
      </c>
      <c r="BE28" s="64">
        <v>1540</v>
      </c>
      <c r="BF28" s="64"/>
      <c r="BG28" s="64"/>
      <c r="BH28" s="64"/>
      <c r="BI28" s="64"/>
      <c r="BJ28" s="64">
        <v>1210</v>
      </c>
      <c r="BK28" s="64"/>
      <c r="BL28" s="64"/>
      <c r="BM28" s="64"/>
      <c r="BN28" s="64"/>
      <c r="BO28" s="64" t="s">
        <v>54</v>
      </c>
      <c r="BP28" s="64">
        <v>1540</v>
      </c>
      <c r="BQ28" s="64"/>
      <c r="BR28" s="64"/>
      <c r="BS28" s="64"/>
      <c r="BT28" s="64"/>
      <c r="BU28" s="64">
        <v>1210</v>
      </c>
      <c r="BV28" s="64"/>
      <c r="BW28" s="64"/>
      <c r="BX28" s="64"/>
      <c r="BY28" s="64"/>
      <c r="BZ28" s="64" t="s">
        <v>54</v>
      </c>
      <c r="CA28" s="64">
        <v>1540</v>
      </c>
      <c r="CB28" s="64"/>
      <c r="CC28" s="64"/>
      <c r="CD28" s="64"/>
      <c r="CE28" s="64"/>
      <c r="CF28" s="64">
        <v>1210</v>
      </c>
      <c r="CG28" s="64"/>
      <c r="CH28" s="64"/>
      <c r="CI28" s="64"/>
      <c r="CJ28" s="64"/>
      <c r="CK28" s="64" t="s">
        <v>54</v>
      </c>
      <c r="CL28" s="64">
        <v>1540</v>
      </c>
      <c r="CM28" s="64"/>
      <c r="CN28" s="64"/>
      <c r="CO28" s="64"/>
      <c r="CP28" s="64"/>
      <c r="CQ28" s="64">
        <v>1210</v>
      </c>
      <c r="CR28" s="64"/>
      <c r="CS28" s="64"/>
      <c r="CT28" s="64"/>
      <c r="CU28" s="64"/>
      <c r="CV28" s="64" t="s">
        <v>54</v>
      </c>
      <c r="CW28" s="64">
        <v>1540</v>
      </c>
      <c r="CX28" s="64"/>
      <c r="CY28" s="64"/>
      <c r="CZ28" s="64"/>
      <c r="DA28" s="64"/>
      <c r="DB28" s="64">
        <v>1210</v>
      </c>
      <c r="DC28" s="64"/>
      <c r="DD28" s="64"/>
      <c r="DE28" s="64"/>
      <c r="DF28" s="64"/>
      <c r="DG28" s="64" t="s">
        <v>54</v>
      </c>
      <c r="DH28" s="64">
        <v>1540</v>
      </c>
      <c r="DI28" s="64"/>
      <c r="DJ28" s="64"/>
      <c r="DK28" s="64"/>
      <c r="DL28" s="64"/>
      <c r="DM28" s="64">
        <v>1210</v>
      </c>
      <c r="DN28" s="64"/>
      <c r="DO28" s="64"/>
      <c r="DP28" s="64"/>
      <c r="DQ28" s="64"/>
      <c r="DR28" s="64" t="s">
        <v>54</v>
      </c>
      <c r="DS28" s="64">
        <v>1540</v>
      </c>
      <c r="DT28" s="64"/>
      <c r="DU28" s="64"/>
      <c r="DV28" s="64"/>
      <c r="DW28" s="64"/>
      <c r="DX28" s="64">
        <v>1210</v>
      </c>
      <c r="DY28" s="64"/>
      <c r="DZ28" s="64"/>
      <c r="EA28" s="64"/>
      <c r="EB28" s="64"/>
      <c r="EC28" s="64" t="s">
        <v>54</v>
      </c>
      <c r="ED28" s="64">
        <v>1540</v>
      </c>
      <c r="EE28" s="64"/>
      <c r="EF28" s="64"/>
      <c r="EG28" s="64"/>
      <c r="EH28" s="64"/>
      <c r="EI28" s="64">
        <v>1210</v>
      </c>
      <c r="EJ28" s="64"/>
      <c r="EK28" s="64"/>
      <c r="EL28" s="64"/>
      <c r="EM28" s="64"/>
      <c r="EN28" s="64" t="s">
        <v>54</v>
      </c>
      <c r="EO28" s="64">
        <v>1540</v>
      </c>
      <c r="EP28" s="64"/>
      <c r="EQ28" s="64"/>
      <c r="ER28" s="64"/>
      <c r="ES28" s="64"/>
      <c r="ET28" s="64">
        <v>1210</v>
      </c>
      <c r="EU28" s="64"/>
      <c r="EV28" s="64"/>
      <c r="EW28" s="64"/>
      <c r="EX28" s="64"/>
      <c r="EY28" s="64" t="s">
        <v>54</v>
      </c>
      <c r="EZ28" s="64">
        <v>1540</v>
      </c>
      <c r="FA28" s="64"/>
      <c r="FB28" s="64"/>
      <c r="FC28" s="64"/>
      <c r="FD28" s="64"/>
      <c r="FE28" s="64">
        <v>1210</v>
      </c>
      <c r="FF28" s="64"/>
      <c r="FG28" s="64"/>
      <c r="FH28" s="64"/>
      <c r="FI28" s="64"/>
      <c r="FJ28" s="64" t="s">
        <v>54</v>
      </c>
      <c r="FK28" s="64">
        <v>1540</v>
      </c>
      <c r="FL28" s="64"/>
      <c r="FM28" s="64"/>
      <c r="FN28" s="64"/>
      <c r="FO28" s="64"/>
      <c r="FP28" s="64">
        <v>1210</v>
      </c>
      <c r="FQ28" s="64"/>
      <c r="FR28" s="64"/>
      <c r="FS28" s="64"/>
      <c r="FT28" s="64"/>
      <c r="FU28" s="64" t="s">
        <v>54</v>
      </c>
      <c r="FV28" s="64">
        <v>1540</v>
      </c>
      <c r="FW28" s="64"/>
      <c r="FX28" s="64"/>
      <c r="FY28" s="64"/>
      <c r="FZ28" s="64"/>
      <c r="GA28" s="64">
        <v>1210</v>
      </c>
      <c r="GB28" s="64"/>
      <c r="GC28" s="64"/>
      <c r="GD28" s="64"/>
      <c r="GE28" s="64"/>
      <c r="GF28" s="64" t="s">
        <v>54</v>
      </c>
      <c r="GG28" s="64">
        <v>1540</v>
      </c>
      <c r="GH28" s="64"/>
      <c r="GI28" s="64"/>
      <c r="GJ28" s="64"/>
      <c r="GK28" s="64"/>
      <c r="GL28" s="64">
        <v>1210</v>
      </c>
      <c r="GM28" s="64"/>
      <c r="GN28" s="64"/>
      <c r="GO28" s="64"/>
      <c r="GP28" s="64"/>
      <c r="GQ28" s="64" t="s">
        <v>54</v>
      </c>
      <c r="GR28" s="64">
        <v>1540</v>
      </c>
      <c r="GS28" s="64"/>
      <c r="GT28" s="64"/>
      <c r="GU28" s="64"/>
      <c r="GV28" s="64"/>
      <c r="GW28" s="64">
        <v>1210</v>
      </c>
      <c r="GX28" s="64"/>
      <c r="GY28" s="64"/>
      <c r="GZ28" s="64"/>
      <c r="HA28" s="64"/>
      <c r="HB28" s="64" t="s">
        <v>54</v>
      </c>
      <c r="HC28" s="64">
        <v>1540</v>
      </c>
      <c r="HD28" s="64"/>
      <c r="HE28" s="64"/>
      <c r="HF28" s="64"/>
      <c r="HG28" s="64"/>
      <c r="HH28" s="64">
        <v>1210</v>
      </c>
      <c r="HI28" s="64"/>
      <c r="HJ28" s="64"/>
      <c r="HK28" s="64"/>
      <c r="HL28" s="64"/>
      <c r="HM28" s="64" t="s">
        <v>54</v>
      </c>
      <c r="HN28" s="64">
        <v>1540</v>
      </c>
      <c r="HO28" s="64"/>
      <c r="HP28" s="64"/>
      <c r="HQ28" s="64"/>
      <c r="HR28" s="64"/>
      <c r="HS28" s="64">
        <v>1210</v>
      </c>
      <c r="HT28" s="64"/>
      <c r="HU28" s="64"/>
      <c r="HV28" s="64"/>
      <c r="HW28" s="64"/>
      <c r="HX28" s="64" t="s">
        <v>54</v>
      </c>
      <c r="HY28" s="64">
        <v>1540</v>
      </c>
      <c r="HZ28" s="64"/>
      <c r="IA28" s="64"/>
      <c r="IB28" s="64"/>
      <c r="IC28" s="64"/>
      <c r="ID28" s="64">
        <v>1210</v>
      </c>
      <c r="IE28" s="64"/>
      <c r="IF28" s="64"/>
      <c r="IG28" s="64"/>
      <c r="IH28" s="64"/>
      <c r="II28" s="64" t="s">
        <v>54</v>
      </c>
      <c r="IJ28" s="64">
        <v>1540</v>
      </c>
      <c r="IK28" s="64"/>
      <c r="IL28" s="64"/>
      <c r="IM28" s="64"/>
      <c r="IN28" s="64"/>
      <c r="IO28" s="64">
        <v>1210</v>
      </c>
      <c r="IP28" s="64"/>
      <c r="IQ28" s="64"/>
      <c r="IR28" s="64"/>
      <c r="IS28" s="64"/>
      <c r="IT28" s="64" t="s">
        <v>54</v>
      </c>
      <c r="IU28" s="64">
        <v>1540</v>
      </c>
      <c r="IV28" s="64"/>
      <c r="IW28" s="64"/>
      <c r="IX28" s="64"/>
      <c r="IY28" s="64"/>
      <c r="IZ28" s="64">
        <v>1210</v>
      </c>
      <c r="JA28" s="64"/>
      <c r="JB28" s="64"/>
      <c r="JC28" s="64"/>
      <c r="JD28" s="64"/>
      <c r="JE28" s="64" t="s">
        <v>54</v>
      </c>
      <c r="JF28" s="64">
        <v>1540</v>
      </c>
      <c r="JG28" s="64"/>
      <c r="JH28" s="64"/>
      <c r="JI28" s="64"/>
      <c r="JJ28" s="64"/>
      <c r="JK28" s="64">
        <v>1210</v>
      </c>
      <c r="JL28" s="64"/>
      <c r="JM28" s="64"/>
      <c r="JN28" s="64"/>
      <c r="JO28" s="64"/>
      <c r="JP28" s="64" t="s">
        <v>54</v>
      </c>
      <c r="JQ28" s="64">
        <v>1540</v>
      </c>
      <c r="JR28" s="64"/>
      <c r="JS28" s="64"/>
      <c r="JT28" s="64"/>
      <c r="JU28" s="64"/>
      <c r="JV28" s="64">
        <v>1210</v>
      </c>
      <c r="JW28" s="64"/>
      <c r="JX28" s="64"/>
      <c r="JY28" s="64"/>
      <c r="JZ28" s="64"/>
      <c r="KA28" s="64" t="s">
        <v>54</v>
      </c>
      <c r="KB28" s="64">
        <v>1540</v>
      </c>
      <c r="KC28" s="64"/>
      <c r="KD28" s="64"/>
      <c r="KE28" s="64"/>
      <c r="KF28" s="64"/>
      <c r="KG28" s="64">
        <v>1210</v>
      </c>
      <c r="KH28" s="64"/>
      <c r="KI28" s="64"/>
      <c r="KJ28" s="64"/>
      <c r="KK28" s="64"/>
      <c r="KL28" s="64" t="s">
        <v>54</v>
      </c>
      <c r="KM28" s="64">
        <v>1540</v>
      </c>
      <c r="KN28" s="64"/>
      <c r="KO28" s="64"/>
      <c r="KP28" s="64"/>
      <c r="KQ28" s="64"/>
      <c r="KR28" s="64">
        <v>1210</v>
      </c>
      <c r="KS28" s="64"/>
      <c r="KT28" s="64"/>
      <c r="KU28" s="64"/>
      <c r="KV28" s="64"/>
      <c r="KW28" s="64" t="s">
        <v>54</v>
      </c>
      <c r="KX28" s="64">
        <v>1540</v>
      </c>
      <c r="KY28" s="64"/>
      <c r="KZ28" s="64"/>
      <c r="LA28" s="64"/>
      <c r="LB28" s="64"/>
      <c r="LC28" s="64">
        <v>1210</v>
      </c>
      <c r="LD28" s="64"/>
      <c r="LE28" s="64"/>
      <c r="LF28" s="64"/>
      <c r="LG28" s="64"/>
      <c r="LH28" s="64" t="s">
        <v>54</v>
      </c>
      <c r="LI28" s="64">
        <v>1540</v>
      </c>
      <c r="LJ28" s="64"/>
      <c r="LK28" s="64"/>
      <c r="LL28" s="64"/>
      <c r="LM28" s="64"/>
      <c r="LN28" s="64">
        <v>1210</v>
      </c>
      <c r="LO28" s="64"/>
      <c r="LP28" s="64"/>
      <c r="LQ28" s="64"/>
      <c r="LR28" s="64"/>
      <c r="LS28" s="64" t="s">
        <v>54</v>
      </c>
      <c r="LT28" s="64">
        <v>1540</v>
      </c>
      <c r="LU28" s="64"/>
      <c r="LV28" s="64"/>
      <c r="LW28" s="64"/>
      <c r="LX28" s="64"/>
      <c r="LY28" s="64">
        <v>1210</v>
      </c>
      <c r="LZ28" s="64"/>
      <c r="MA28" s="64"/>
      <c r="MB28" s="64"/>
      <c r="MC28" s="64"/>
      <c r="MD28" s="64" t="s">
        <v>54</v>
      </c>
    </row>
    <row r="29" spans="1:342" x14ac:dyDescent="0.25">
      <c r="A29" s="1" t="s">
        <v>55</v>
      </c>
      <c r="B29" s="1" t="s">
        <v>56</v>
      </c>
      <c r="C29" s="1" t="s">
        <v>57</v>
      </c>
      <c r="D29" s="1" t="s">
        <v>58</v>
      </c>
      <c r="E29" s="1" t="s">
        <v>59</v>
      </c>
      <c r="F29" s="1" t="s">
        <v>60</v>
      </c>
      <c r="G29" s="1" t="s">
        <v>56</v>
      </c>
      <c r="H29" s="1" t="s">
        <v>57</v>
      </c>
      <c r="I29" s="1" t="s">
        <v>58</v>
      </c>
      <c r="J29" s="1" t="s">
        <v>59</v>
      </c>
      <c r="K29" s="1" t="s">
        <v>60</v>
      </c>
      <c r="L29" s="64"/>
      <c r="M29" s="1" t="s">
        <v>56</v>
      </c>
      <c r="N29" s="1" t="s">
        <v>57</v>
      </c>
      <c r="O29" s="1" t="s">
        <v>58</v>
      </c>
      <c r="P29" s="1" t="s">
        <v>59</v>
      </c>
      <c r="Q29" s="1" t="s">
        <v>60</v>
      </c>
      <c r="R29" s="1" t="s">
        <v>56</v>
      </c>
      <c r="S29" s="1" t="s">
        <v>57</v>
      </c>
      <c r="T29" s="1" t="s">
        <v>58</v>
      </c>
      <c r="U29" s="1" t="s">
        <v>59</v>
      </c>
      <c r="V29" s="1" t="s">
        <v>60</v>
      </c>
      <c r="W29" s="64"/>
      <c r="X29" s="1" t="s">
        <v>56</v>
      </c>
      <c r="Y29" s="1" t="s">
        <v>57</v>
      </c>
      <c r="Z29" s="1" t="s">
        <v>58</v>
      </c>
      <c r="AA29" s="1" t="s">
        <v>59</v>
      </c>
      <c r="AB29" s="1" t="s">
        <v>60</v>
      </c>
      <c r="AC29" s="1" t="s">
        <v>56</v>
      </c>
      <c r="AD29" s="1" t="s">
        <v>57</v>
      </c>
      <c r="AE29" s="1" t="s">
        <v>58</v>
      </c>
      <c r="AF29" s="1" t="s">
        <v>59</v>
      </c>
      <c r="AG29" s="1" t="s">
        <v>60</v>
      </c>
      <c r="AH29" s="64"/>
      <c r="AI29" s="1" t="s">
        <v>56</v>
      </c>
      <c r="AJ29" s="1" t="s">
        <v>57</v>
      </c>
      <c r="AK29" s="1" t="s">
        <v>58</v>
      </c>
      <c r="AL29" s="1" t="s">
        <v>59</v>
      </c>
      <c r="AM29" s="1" t="s">
        <v>60</v>
      </c>
      <c r="AN29" s="1" t="s">
        <v>56</v>
      </c>
      <c r="AO29" s="1" t="s">
        <v>57</v>
      </c>
      <c r="AP29" s="1" t="s">
        <v>58</v>
      </c>
      <c r="AQ29" s="1" t="s">
        <v>59</v>
      </c>
      <c r="AR29" s="1" t="s">
        <v>60</v>
      </c>
      <c r="AS29" s="64"/>
      <c r="AT29" s="1" t="s">
        <v>56</v>
      </c>
      <c r="AU29" s="1" t="s">
        <v>57</v>
      </c>
      <c r="AV29" s="1" t="s">
        <v>58</v>
      </c>
      <c r="AW29" s="1" t="s">
        <v>59</v>
      </c>
      <c r="AX29" s="1" t="s">
        <v>60</v>
      </c>
      <c r="AY29" s="1" t="s">
        <v>56</v>
      </c>
      <c r="AZ29" s="1" t="s">
        <v>57</v>
      </c>
      <c r="BA29" s="1" t="s">
        <v>58</v>
      </c>
      <c r="BB29" s="1" t="s">
        <v>59</v>
      </c>
      <c r="BC29" s="1" t="s">
        <v>60</v>
      </c>
      <c r="BD29" s="64"/>
      <c r="BE29" s="1" t="s">
        <v>56</v>
      </c>
      <c r="BF29" s="1" t="s">
        <v>57</v>
      </c>
      <c r="BG29" s="1" t="s">
        <v>58</v>
      </c>
      <c r="BH29" s="1" t="s">
        <v>59</v>
      </c>
      <c r="BI29" s="1" t="s">
        <v>60</v>
      </c>
      <c r="BJ29" s="1" t="s">
        <v>56</v>
      </c>
      <c r="BK29" s="1" t="s">
        <v>57</v>
      </c>
      <c r="BL29" s="1" t="s">
        <v>58</v>
      </c>
      <c r="BM29" s="1" t="s">
        <v>59</v>
      </c>
      <c r="BN29" s="1" t="s">
        <v>60</v>
      </c>
      <c r="BO29" s="64"/>
      <c r="BP29" s="1" t="s">
        <v>56</v>
      </c>
      <c r="BQ29" s="1" t="s">
        <v>57</v>
      </c>
      <c r="BR29" s="1" t="s">
        <v>58</v>
      </c>
      <c r="BS29" s="1" t="s">
        <v>59</v>
      </c>
      <c r="BT29" s="1" t="s">
        <v>60</v>
      </c>
      <c r="BU29" s="1" t="s">
        <v>56</v>
      </c>
      <c r="BV29" s="1" t="s">
        <v>57</v>
      </c>
      <c r="BW29" s="1" t="s">
        <v>58</v>
      </c>
      <c r="BX29" s="1" t="s">
        <v>59</v>
      </c>
      <c r="BY29" s="1" t="s">
        <v>60</v>
      </c>
      <c r="BZ29" s="64"/>
      <c r="CA29" s="1" t="s">
        <v>56</v>
      </c>
      <c r="CB29" s="1" t="s">
        <v>57</v>
      </c>
      <c r="CC29" s="1" t="s">
        <v>58</v>
      </c>
      <c r="CD29" s="1" t="s">
        <v>59</v>
      </c>
      <c r="CE29" s="1" t="s">
        <v>60</v>
      </c>
      <c r="CF29" s="1" t="s">
        <v>56</v>
      </c>
      <c r="CG29" s="1" t="s">
        <v>57</v>
      </c>
      <c r="CH29" s="1" t="s">
        <v>58</v>
      </c>
      <c r="CI29" s="1" t="s">
        <v>59</v>
      </c>
      <c r="CJ29" s="1" t="s">
        <v>60</v>
      </c>
      <c r="CK29" s="64"/>
      <c r="CL29" s="1" t="s">
        <v>56</v>
      </c>
      <c r="CM29" s="1" t="s">
        <v>57</v>
      </c>
      <c r="CN29" s="1" t="s">
        <v>58</v>
      </c>
      <c r="CO29" s="1" t="s">
        <v>59</v>
      </c>
      <c r="CP29" s="1" t="s">
        <v>60</v>
      </c>
      <c r="CQ29" s="1" t="s">
        <v>56</v>
      </c>
      <c r="CR29" s="1" t="s">
        <v>57</v>
      </c>
      <c r="CS29" s="1" t="s">
        <v>58</v>
      </c>
      <c r="CT29" s="1" t="s">
        <v>59</v>
      </c>
      <c r="CU29" s="1" t="s">
        <v>60</v>
      </c>
      <c r="CV29" s="64"/>
      <c r="CW29" s="1" t="s">
        <v>56</v>
      </c>
      <c r="CX29" s="1" t="s">
        <v>57</v>
      </c>
      <c r="CY29" s="1" t="s">
        <v>58</v>
      </c>
      <c r="CZ29" s="1" t="s">
        <v>59</v>
      </c>
      <c r="DA29" s="1" t="s">
        <v>60</v>
      </c>
      <c r="DB29" s="1" t="s">
        <v>56</v>
      </c>
      <c r="DC29" s="1" t="s">
        <v>57</v>
      </c>
      <c r="DD29" s="1" t="s">
        <v>58</v>
      </c>
      <c r="DE29" s="1" t="s">
        <v>59</v>
      </c>
      <c r="DF29" s="1" t="s">
        <v>60</v>
      </c>
      <c r="DG29" s="64"/>
      <c r="DH29" s="1" t="s">
        <v>56</v>
      </c>
      <c r="DI29" s="1" t="s">
        <v>57</v>
      </c>
      <c r="DJ29" s="1" t="s">
        <v>58</v>
      </c>
      <c r="DK29" s="1" t="s">
        <v>59</v>
      </c>
      <c r="DL29" s="1" t="s">
        <v>60</v>
      </c>
      <c r="DM29" s="1" t="s">
        <v>56</v>
      </c>
      <c r="DN29" s="1" t="s">
        <v>57</v>
      </c>
      <c r="DO29" s="1" t="s">
        <v>58</v>
      </c>
      <c r="DP29" s="1" t="s">
        <v>59</v>
      </c>
      <c r="DQ29" s="1" t="s">
        <v>60</v>
      </c>
      <c r="DR29" s="64"/>
      <c r="DS29" s="1" t="s">
        <v>56</v>
      </c>
      <c r="DT29" s="1" t="s">
        <v>57</v>
      </c>
      <c r="DU29" s="1" t="s">
        <v>58</v>
      </c>
      <c r="DV29" s="1" t="s">
        <v>59</v>
      </c>
      <c r="DW29" s="1" t="s">
        <v>60</v>
      </c>
      <c r="DX29" s="1" t="s">
        <v>56</v>
      </c>
      <c r="DY29" s="1" t="s">
        <v>57</v>
      </c>
      <c r="DZ29" s="1" t="s">
        <v>58</v>
      </c>
      <c r="EA29" s="1" t="s">
        <v>59</v>
      </c>
      <c r="EB29" s="1" t="s">
        <v>60</v>
      </c>
      <c r="EC29" s="64"/>
      <c r="ED29" s="1" t="s">
        <v>56</v>
      </c>
      <c r="EE29" s="1" t="s">
        <v>57</v>
      </c>
      <c r="EF29" s="1" t="s">
        <v>58</v>
      </c>
      <c r="EG29" s="1" t="s">
        <v>59</v>
      </c>
      <c r="EH29" s="1" t="s">
        <v>60</v>
      </c>
      <c r="EI29" s="1" t="s">
        <v>56</v>
      </c>
      <c r="EJ29" s="1" t="s">
        <v>57</v>
      </c>
      <c r="EK29" s="1" t="s">
        <v>58</v>
      </c>
      <c r="EL29" s="1" t="s">
        <v>59</v>
      </c>
      <c r="EM29" s="1" t="s">
        <v>60</v>
      </c>
      <c r="EN29" s="64"/>
      <c r="EO29" s="1" t="s">
        <v>56</v>
      </c>
      <c r="EP29" s="1" t="s">
        <v>57</v>
      </c>
      <c r="EQ29" s="1" t="s">
        <v>58</v>
      </c>
      <c r="ER29" s="1" t="s">
        <v>59</v>
      </c>
      <c r="ES29" s="1" t="s">
        <v>60</v>
      </c>
      <c r="ET29" s="1" t="s">
        <v>56</v>
      </c>
      <c r="EU29" s="1" t="s">
        <v>57</v>
      </c>
      <c r="EV29" s="1" t="s">
        <v>58</v>
      </c>
      <c r="EW29" s="1" t="s">
        <v>59</v>
      </c>
      <c r="EX29" s="1" t="s">
        <v>60</v>
      </c>
      <c r="EY29" s="64"/>
      <c r="EZ29" s="1" t="s">
        <v>56</v>
      </c>
      <c r="FA29" s="1" t="s">
        <v>57</v>
      </c>
      <c r="FB29" s="1" t="s">
        <v>58</v>
      </c>
      <c r="FC29" s="1" t="s">
        <v>59</v>
      </c>
      <c r="FD29" s="1" t="s">
        <v>60</v>
      </c>
      <c r="FE29" s="1" t="s">
        <v>56</v>
      </c>
      <c r="FF29" s="1" t="s">
        <v>57</v>
      </c>
      <c r="FG29" s="1" t="s">
        <v>58</v>
      </c>
      <c r="FH29" s="1" t="s">
        <v>59</v>
      </c>
      <c r="FI29" s="1" t="s">
        <v>60</v>
      </c>
      <c r="FJ29" s="64"/>
      <c r="FK29" s="1" t="s">
        <v>56</v>
      </c>
      <c r="FL29" s="1" t="s">
        <v>57</v>
      </c>
      <c r="FM29" s="1" t="s">
        <v>58</v>
      </c>
      <c r="FN29" s="1" t="s">
        <v>59</v>
      </c>
      <c r="FO29" s="1" t="s">
        <v>60</v>
      </c>
      <c r="FP29" s="1" t="s">
        <v>56</v>
      </c>
      <c r="FQ29" s="1" t="s">
        <v>57</v>
      </c>
      <c r="FR29" s="1" t="s">
        <v>58</v>
      </c>
      <c r="FS29" s="1" t="s">
        <v>59</v>
      </c>
      <c r="FT29" s="1" t="s">
        <v>60</v>
      </c>
      <c r="FU29" s="64"/>
      <c r="FV29" s="1" t="s">
        <v>56</v>
      </c>
      <c r="FW29" s="1" t="s">
        <v>57</v>
      </c>
      <c r="FX29" s="1" t="s">
        <v>58</v>
      </c>
      <c r="FY29" s="1" t="s">
        <v>59</v>
      </c>
      <c r="FZ29" s="1" t="s">
        <v>60</v>
      </c>
      <c r="GA29" s="1" t="s">
        <v>56</v>
      </c>
      <c r="GB29" s="1" t="s">
        <v>57</v>
      </c>
      <c r="GC29" s="1" t="s">
        <v>58</v>
      </c>
      <c r="GD29" s="1" t="s">
        <v>59</v>
      </c>
      <c r="GE29" s="1" t="s">
        <v>60</v>
      </c>
      <c r="GF29" s="64"/>
      <c r="GG29" s="1" t="s">
        <v>56</v>
      </c>
      <c r="GH29" s="1" t="s">
        <v>57</v>
      </c>
      <c r="GI29" s="1" t="s">
        <v>58</v>
      </c>
      <c r="GJ29" s="1" t="s">
        <v>59</v>
      </c>
      <c r="GK29" s="1" t="s">
        <v>60</v>
      </c>
      <c r="GL29" s="1" t="s">
        <v>56</v>
      </c>
      <c r="GM29" s="1" t="s">
        <v>57</v>
      </c>
      <c r="GN29" s="1" t="s">
        <v>58</v>
      </c>
      <c r="GO29" s="1" t="s">
        <v>59</v>
      </c>
      <c r="GP29" s="1" t="s">
        <v>60</v>
      </c>
      <c r="GQ29" s="64"/>
      <c r="GR29" s="1" t="s">
        <v>56</v>
      </c>
      <c r="GS29" s="1" t="s">
        <v>57</v>
      </c>
      <c r="GT29" s="1" t="s">
        <v>58</v>
      </c>
      <c r="GU29" s="1" t="s">
        <v>59</v>
      </c>
      <c r="GV29" s="1" t="s">
        <v>60</v>
      </c>
      <c r="GW29" s="1" t="s">
        <v>56</v>
      </c>
      <c r="GX29" s="1" t="s">
        <v>57</v>
      </c>
      <c r="GY29" s="1" t="s">
        <v>58</v>
      </c>
      <c r="GZ29" s="1" t="s">
        <v>59</v>
      </c>
      <c r="HA29" s="1" t="s">
        <v>60</v>
      </c>
      <c r="HB29" s="64"/>
      <c r="HC29" s="1" t="s">
        <v>56</v>
      </c>
      <c r="HD29" s="1" t="s">
        <v>57</v>
      </c>
      <c r="HE29" s="1" t="s">
        <v>58</v>
      </c>
      <c r="HF29" s="1" t="s">
        <v>59</v>
      </c>
      <c r="HG29" s="1" t="s">
        <v>60</v>
      </c>
      <c r="HH29" s="1" t="s">
        <v>56</v>
      </c>
      <c r="HI29" s="1" t="s">
        <v>57</v>
      </c>
      <c r="HJ29" s="1" t="s">
        <v>58</v>
      </c>
      <c r="HK29" s="1" t="s">
        <v>59</v>
      </c>
      <c r="HL29" s="1" t="s">
        <v>60</v>
      </c>
      <c r="HM29" s="64"/>
      <c r="HN29" s="1" t="s">
        <v>56</v>
      </c>
      <c r="HO29" s="1" t="s">
        <v>57</v>
      </c>
      <c r="HP29" s="1" t="s">
        <v>58</v>
      </c>
      <c r="HQ29" s="1" t="s">
        <v>59</v>
      </c>
      <c r="HR29" s="1" t="s">
        <v>60</v>
      </c>
      <c r="HS29" s="1" t="s">
        <v>56</v>
      </c>
      <c r="HT29" s="1" t="s">
        <v>57</v>
      </c>
      <c r="HU29" s="1" t="s">
        <v>58</v>
      </c>
      <c r="HV29" s="1" t="s">
        <v>59</v>
      </c>
      <c r="HW29" s="1" t="s">
        <v>60</v>
      </c>
      <c r="HX29" s="64"/>
      <c r="HY29" s="1" t="s">
        <v>56</v>
      </c>
      <c r="HZ29" s="1" t="s">
        <v>57</v>
      </c>
      <c r="IA29" s="1" t="s">
        <v>58</v>
      </c>
      <c r="IB29" s="1" t="s">
        <v>59</v>
      </c>
      <c r="IC29" s="1" t="s">
        <v>60</v>
      </c>
      <c r="ID29" s="1" t="s">
        <v>56</v>
      </c>
      <c r="IE29" s="1" t="s">
        <v>57</v>
      </c>
      <c r="IF29" s="1" t="s">
        <v>58</v>
      </c>
      <c r="IG29" s="1" t="s">
        <v>59</v>
      </c>
      <c r="IH29" s="1" t="s">
        <v>60</v>
      </c>
      <c r="II29" s="64"/>
      <c r="IJ29" s="1" t="s">
        <v>56</v>
      </c>
      <c r="IK29" s="1" t="s">
        <v>57</v>
      </c>
      <c r="IL29" s="1" t="s">
        <v>58</v>
      </c>
      <c r="IM29" s="1" t="s">
        <v>59</v>
      </c>
      <c r="IN29" s="1" t="s">
        <v>60</v>
      </c>
      <c r="IO29" s="1" t="s">
        <v>56</v>
      </c>
      <c r="IP29" s="1" t="s">
        <v>57</v>
      </c>
      <c r="IQ29" s="1" t="s">
        <v>58</v>
      </c>
      <c r="IR29" s="1" t="s">
        <v>59</v>
      </c>
      <c r="IS29" s="1" t="s">
        <v>60</v>
      </c>
      <c r="IT29" s="64"/>
      <c r="IU29" s="1" t="s">
        <v>56</v>
      </c>
      <c r="IV29" s="1" t="s">
        <v>57</v>
      </c>
      <c r="IW29" s="1" t="s">
        <v>58</v>
      </c>
      <c r="IX29" s="1" t="s">
        <v>59</v>
      </c>
      <c r="IY29" s="1" t="s">
        <v>60</v>
      </c>
      <c r="IZ29" s="1" t="s">
        <v>56</v>
      </c>
      <c r="JA29" s="1" t="s">
        <v>57</v>
      </c>
      <c r="JB29" s="1" t="s">
        <v>58</v>
      </c>
      <c r="JC29" s="1" t="s">
        <v>59</v>
      </c>
      <c r="JD29" s="1" t="s">
        <v>60</v>
      </c>
      <c r="JE29" s="64"/>
      <c r="JF29" s="1" t="s">
        <v>56</v>
      </c>
      <c r="JG29" s="1" t="s">
        <v>57</v>
      </c>
      <c r="JH29" s="1" t="s">
        <v>58</v>
      </c>
      <c r="JI29" s="1" t="s">
        <v>59</v>
      </c>
      <c r="JJ29" s="1" t="s">
        <v>60</v>
      </c>
      <c r="JK29" s="1" t="s">
        <v>56</v>
      </c>
      <c r="JL29" s="1" t="s">
        <v>57</v>
      </c>
      <c r="JM29" s="1" t="s">
        <v>58</v>
      </c>
      <c r="JN29" s="1" t="s">
        <v>59</v>
      </c>
      <c r="JO29" s="1" t="s">
        <v>60</v>
      </c>
      <c r="JP29" s="64"/>
      <c r="JQ29" s="1" t="s">
        <v>56</v>
      </c>
      <c r="JR29" s="1" t="s">
        <v>57</v>
      </c>
      <c r="JS29" s="1" t="s">
        <v>58</v>
      </c>
      <c r="JT29" s="1" t="s">
        <v>59</v>
      </c>
      <c r="JU29" s="1" t="s">
        <v>60</v>
      </c>
      <c r="JV29" s="1" t="s">
        <v>56</v>
      </c>
      <c r="JW29" s="1" t="s">
        <v>57</v>
      </c>
      <c r="JX29" s="1" t="s">
        <v>58</v>
      </c>
      <c r="JY29" s="1" t="s">
        <v>59</v>
      </c>
      <c r="JZ29" s="1" t="s">
        <v>60</v>
      </c>
      <c r="KA29" s="64"/>
      <c r="KB29" s="1" t="s">
        <v>56</v>
      </c>
      <c r="KC29" s="1" t="s">
        <v>57</v>
      </c>
      <c r="KD29" s="1" t="s">
        <v>58</v>
      </c>
      <c r="KE29" s="1" t="s">
        <v>59</v>
      </c>
      <c r="KF29" s="1" t="s">
        <v>60</v>
      </c>
      <c r="KG29" s="1" t="s">
        <v>56</v>
      </c>
      <c r="KH29" s="1" t="s">
        <v>57</v>
      </c>
      <c r="KI29" s="1" t="s">
        <v>58</v>
      </c>
      <c r="KJ29" s="1" t="s">
        <v>59</v>
      </c>
      <c r="KK29" s="1" t="s">
        <v>60</v>
      </c>
      <c r="KL29" s="64"/>
      <c r="KM29" s="1" t="s">
        <v>56</v>
      </c>
      <c r="KN29" s="1" t="s">
        <v>57</v>
      </c>
      <c r="KO29" s="1" t="s">
        <v>58</v>
      </c>
      <c r="KP29" s="1" t="s">
        <v>59</v>
      </c>
      <c r="KQ29" s="1" t="s">
        <v>60</v>
      </c>
      <c r="KR29" s="1" t="s">
        <v>56</v>
      </c>
      <c r="KS29" s="1" t="s">
        <v>57</v>
      </c>
      <c r="KT29" s="1" t="s">
        <v>58</v>
      </c>
      <c r="KU29" s="1" t="s">
        <v>59</v>
      </c>
      <c r="KV29" s="1" t="s">
        <v>60</v>
      </c>
      <c r="KW29" s="64"/>
      <c r="KX29" s="1" t="s">
        <v>56</v>
      </c>
      <c r="KY29" s="1" t="s">
        <v>57</v>
      </c>
      <c r="KZ29" s="1" t="s">
        <v>58</v>
      </c>
      <c r="LA29" s="1" t="s">
        <v>59</v>
      </c>
      <c r="LB29" s="1" t="s">
        <v>60</v>
      </c>
      <c r="LC29" s="1" t="s">
        <v>56</v>
      </c>
      <c r="LD29" s="1" t="s">
        <v>57</v>
      </c>
      <c r="LE29" s="1" t="s">
        <v>58</v>
      </c>
      <c r="LF29" s="1" t="s">
        <v>59</v>
      </c>
      <c r="LG29" s="1" t="s">
        <v>60</v>
      </c>
      <c r="LH29" s="64"/>
      <c r="LI29" s="1" t="s">
        <v>56</v>
      </c>
      <c r="LJ29" s="1" t="s">
        <v>57</v>
      </c>
      <c r="LK29" s="1" t="s">
        <v>58</v>
      </c>
      <c r="LL29" s="1" t="s">
        <v>59</v>
      </c>
      <c r="LM29" s="1" t="s">
        <v>60</v>
      </c>
      <c r="LN29" s="1" t="s">
        <v>56</v>
      </c>
      <c r="LO29" s="1" t="s">
        <v>57</v>
      </c>
      <c r="LP29" s="1" t="s">
        <v>58</v>
      </c>
      <c r="LQ29" s="1" t="s">
        <v>59</v>
      </c>
      <c r="LR29" s="1" t="s">
        <v>60</v>
      </c>
      <c r="LS29" s="64"/>
      <c r="LT29" s="1" t="s">
        <v>56</v>
      </c>
      <c r="LU29" s="1" t="s">
        <v>57</v>
      </c>
      <c r="LV29" s="1" t="s">
        <v>58</v>
      </c>
      <c r="LW29" s="1" t="s">
        <v>59</v>
      </c>
      <c r="LX29" s="1" t="s">
        <v>60</v>
      </c>
      <c r="LY29" s="1" t="s">
        <v>56</v>
      </c>
      <c r="LZ29" s="1" t="s">
        <v>57</v>
      </c>
      <c r="MA29" s="1" t="s">
        <v>58</v>
      </c>
      <c r="MB29" s="1" t="s">
        <v>59</v>
      </c>
      <c r="MC29" s="1" t="s">
        <v>60</v>
      </c>
      <c r="MD29" s="64"/>
    </row>
    <row r="30" spans="1:342" x14ac:dyDescent="0.25">
      <c r="A30" s="1" t="s">
        <v>39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">
        <v>0</v>
      </c>
      <c r="EF30" s="1">
        <v>0</v>
      </c>
      <c r="EG30" s="1">
        <v>0</v>
      </c>
      <c r="EH30" s="1">
        <v>0</v>
      </c>
      <c r="EI30" s="1">
        <v>0</v>
      </c>
      <c r="EJ30" s="1">
        <v>0</v>
      </c>
      <c r="EK30" s="1">
        <v>0</v>
      </c>
      <c r="EL30" s="1">
        <v>0</v>
      </c>
      <c r="EM30" s="1">
        <v>0</v>
      </c>
      <c r="EN30" s="1">
        <v>0</v>
      </c>
      <c r="EO30" s="1">
        <v>0</v>
      </c>
      <c r="EP30" s="1">
        <v>0</v>
      </c>
      <c r="EQ30" s="1">
        <v>0</v>
      </c>
      <c r="ER30" s="1">
        <v>0</v>
      </c>
      <c r="ES30" s="1">
        <v>0</v>
      </c>
      <c r="ET30" s="1">
        <v>0</v>
      </c>
      <c r="EU30" s="1">
        <v>0</v>
      </c>
      <c r="EV30" s="1">
        <v>0</v>
      </c>
      <c r="EW30" s="1">
        <v>0</v>
      </c>
      <c r="EX30" s="1">
        <v>0</v>
      </c>
      <c r="EY30" s="1">
        <v>0</v>
      </c>
      <c r="EZ30" s="1">
        <v>0</v>
      </c>
      <c r="FA30" s="1">
        <v>0</v>
      </c>
      <c r="FB30" s="1">
        <v>0</v>
      </c>
      <c r="FC30" s="1">
        <v>0</v>
      </c>
      <c r="FD30" s="1">
        <v>0</v>
      </c>
      <c r="FE30" s="1">
        <v>0</v>
      </c>
      <c r="FF30" s="1">
        <v>0</v>
      </c>
      <c r="FG30" s="1">
        <v>0</v>
      </c>
      <c r="FH30" s="1">
        <v>0</v>
      </c>
      <c r="FI30" s="1">
        <v>0</v>
      </c>
      <c r="FJ30" s="1">
        <v>0</v>
      </c>
      <c r="FK30" s="1">
        <v>0</v>
      </c>
      <c r="FL30" s="1">
        <v>0</v>
      </c>
      <c r="FM30" s="1">
        <v>0</v>
      </c>
      <c r="FN30" s="1">
        <v>0</v>
      </c>
      <c r="FO30" s="1">
        <v>0</v>
      </c>
      <c r="FP30" s="1">
        <v>0</v>
      </c>
      <c r="FQ30" s="1">
        <v>0</v>
      </c>
      <c r="FR30" s="1">
        <v>0</v>
      </c>
      <c r="FS30" s="1">
        <v>0</v>
      </c>
      <c r="FT30" s="1">
        <v>0</v>
      </c>
      <c r="FU30" s="1">
        <v>0</v>
      </c>
      <c r="FV30" s="1">
        <v>0</v>
      </c>
      <c r="FW30" s="1">
        <v>0</v>
      </c>
      <c r="FX30" s="1">
        <v>0</v>
      </c>
      <c r="FY30" s="1">
        <v>0</v>
      </c>
      <c r="FZ30" s="1">
        <v>0</v>
      </c>
      <c r="GA30" s="1">
        <v>0</v>
      </c>
      <c r="GB30" s="1">
        <v>0</v>
      </c>
      <c r="GC30" s="1">
        <v>0</v>
      </c>
      <c r="GD30" s="1">
        <v>0</v>
      </c>
      <c r="GE30" s="1">
        <v>0</v>
      </c>
      <c r="GF30" s="1">
        <v>0</v>
      </c>
      <c r="GG30" s="1">
        <v>0</v>
      </c>
      <c r="GH30" s="1">
        <v>0</v>
      </c>
      <c r="GI30" s="1">
        <v>0</v>
      </c>
      <c r="GJ30" s="1">
        <v>0</v>
      </c>
      <c r="GK30" s="1">
        <v>0</v>
      </c>
      <c r="GL30" s="1">
        <v>0</v>
      </c>
      <c r="GM30" s="1">
        <v>0</v>
      </c>
      <c r="GN30" s="1">
        <v>0</v>
      </c>
      <c r="GO30" s="1">
        <v>0</v>
      </c>
      <c r="GP30" s="1">
        <v>0</v>
      </c>
      <c r="GQ30" s="1">
        <v>0</v>
      </c>
      <c r="GR30" s="1">
        <v>0</v>
      </c>
      <c r="GS30" s="1">
        <v>0</v>
      </c>
      <c r="GT30" s="1">
        <v>0</v>
      </c>
      <c r="GU30" s="1">
        <v>0</v>
      </c>
      <c r="GV30" s="1">
        <v>0</v>
      </c>
      <c r="GW30" s="1">
        <v>0</v>
      </c>
      <c r="GX30" s="1">
        <v>0</v>
      </c>
      <c r="GY30" s="1">
        <v>0</v>
      </c>
      <c r="GZ30" s="1">
        <v>0</v>
      </c>
      <c r="HA30" s="1">
        <v>0</v>
      </c>
      <c r="HB30" s="1">
        <v>0</v>
      </c>
      <c r="HC30" s="1">
        <v>0</v>
      </c>
      <c r="HD30" s="1">
        <v>0</v>
      </c>
      <c r="HE30" s="1">
        <v>0</v>
      </c>
      <c r="HF30" s="1">
        <v>0</v>
      </c>
      <c r="HG30" s="1">
        <v>0</v>
      </c>
      <c r="HH30" s="1">
        <v>0</v>
      </c>
      <c r="HI30" s="1">
        <v>0</v>
      </c>
      <c r="HJ30" s="1">
        <v>0</v>
      </c>
      <c r="HK30" s="1">
        <v>0</v>
      </c>
      <c r="HL30" s="1">
        <v>0</v>
      </c>
      <c r="HM30" s="1">
        <v>0</v>
      </c>
      <c r="HN30" s="1">
        <v>0</v>
      </c>
      <c r="HO30" s="1">
        <v>0</v>
      </c>
      <c r="HP30" s="1">
        <v>0</v>
      </c>
      <c r="HQ30" s="1">
        <v>0</v>
      </c>
      <c r="HR30" s="1">
        <v>0</v>
      </c>
      <c r="HS30" s="1">
        <v>0</v>
      </c>
      <c r="HT30" s="1">
        <v>0</v>
      </c>
      <c r="HU30" s="1">
        <v>0</v>
      </c>
      <c r="HV30" s="1">
        <v>0</v>
      </c>
      <c r="HW30" s="1">
        <v>0</v>
      </c>
      <c r="HX30" s="1">
        <v>0</v>
      </c>
      <c r="HY30" s="1">
        <v>0</v>
      </c>
      <c r="HZ30" s="1">
        <v>0</v>
      </c>
      <c r="IA30" s="1">
        <v>0</v>
      </c>
      <c r="IB30" s="1">
        <v>0</v>
      </c>
      <c r="IC30" s="1">
        <v>0</v>
      </c>
      <c r="ID30" s="1">
        <v>0</v>
      </c>
      <c r="IE30" s="1">
        <v>0</v>
      </c>
      <c r="IF30" s="1">
        <v>0</v>
      </c>
      <c r="IG30" s="1">
        <v>0</v>
      </c>
      <c r="IH30" s="1">
        <v>0</v>
      </c>
      <c r="II30" s="1">
        <v>0</v>
      </c>
      <c r="IJ30" s="1">
        <v>0</v>
      </c>
      <c r="IK30" s="1">
        <v>0</v>
      </c>
      <c r="IL30" s="1">
        <v>0</v>
      </c>
      <c r="IM30" s="1">
        <v>0</v>
      </c>
      <c r="IN30" s="1">
        <v>0</v>
      </c>
      <c r="IO30" s="1">
        <v>0</v>
      </c>
      <c r="IP30" s="1">
        <v>0</v>
      </c>
      <c r="IQ30" s="1">
        <v>0</v>
      </c>
      <c r="IR30" s="1">
        <v>0</v>
      </c>
      <c r="IS30" s="1">
        <v>0</v>
      </c>
      <c r="IT30" s="1">
        <v>0</v>
      </c>
      <c r="IU30" s="1">
        <v>0</v>
      </c>
      <c r="IV30" s="1">
        <v>0</v>
      </c>
      <c r="IW30" s="1">
        <v>0</v>
      </c>
      <c r="IX30" s="1">
        <v>0</v>
      </c>
      <c r="IY30" s="1">
        <v>0</v>
      </c>
      <c r="IZ30" s="1">
        <v>0</v>
      </c>
      <c r="JA30" s="1">
        <v>0</v>
      </c>
      <c r="JB30" s="1">
        <v>0</v>
      </c>
      <c r="JC30" s="1">
        <v>0</v>
      </c>
      <c r="JD30" s="1">
        <v>0</v>
      </c>
      <c r="JE30" s="1">
        <v>0</v>
      </c>
      <c r="JF30" s="1">
        <v>0</v>
      </c>
      <c r="JG30" s="1">
        <v>0</v>
      </c>
      <c r="JH30" s="1">
        <v>0</v>
      </c>
      <c r="JI30" s="1">
        <v>0</v>
      </c>
      <c r="JJ30" s="1">
        <v>0</v>
      </c>
      <c r="JK30" s="1">
        <v>0</v>
      </c>
      <c r="JL30" s="1">
        <v>0</v>
      </c>
      <c r="JM30" s="1">
        <v>0</v>
      </c>
      <c r="JN30" s="1">
        <v>0</v>
      </c>
      <c r="JO30" s="1">
        <v>0</v>
      </c>
      <c r="JP30" s="1">
        <v>0</v>
      </c>
      <c r="JQ30" s="1">
        <v>0</v>
      </c>
      <c r="JR30" s="1">
        <v>0</v>
      </c>
      <c r="JS30" s="1">
        <v>0</v>
      </c>
      <c r="JT30" s="1">
        <v>0</v>
      </c>
      <c r="JU30" s="1">
        <v>0</v>
      </c>
      <c r="JV30" s="1">
        <v>0</v>
      </c>
      <c r="JW30" s="1">
        <v>0</v>
      </c>
      <c r="JX30" s="1">
        <v>0</v>
      </c>
      <c r="JY30" s="1">
        <v>0</v>
      </c>
      <c r="JZ30" s="1">
        <v>0</v>
      </c>
      <c r="KA30" s="1">
        <v>0</v>
      </c>
      <c r="KB30" s="1">
        <v>0</v>
      </c>
      <c r="KC30" s="1">
        <v>0</v>
      </c>
      <c r="KD30" s="1">
        <v>0</v>
      </c>
      <c r="KE30" s="1">
        <v>0</v>
      </c>
      <c r="KF30" s="1">
        <v>0</v>
      </c>
      <c r="KG30" s="1">
        <v>0</v>
      </c>
      <c r="KH30" s="1">
        <v>0</v>
      </c>
      <c r="KI30" s="1">
        <v>0</v>
      </c>
      <c r="KJ30" s="1">
        <v>0</v>
      </c>
      <c r="KK30" s="1">
        <v>0</v>
      </c>
      <c r="KL30" s="1">
        <v>0</v>
      </c>
      <c r="KM30" s="1">
        <v>0</v>
      </c>
      <c r="KN30" s="1">
        <v>0</v>
      </c>
      <c r="KO30" s="1">
        <v>0</v>
      </c>
      <c r="KP30" s="1">
        <v>0</v>
      </c>
      <c r="KQ30" s="1">
        <v>0</v>
      </c>
      <c r="KR30" s="1">
        <v>0</v>
      </c>
      <c r="KS30" s="1">
        <v>0</v>
      </c>
      <c r="KT30" s="1">
        <v>0</v>
      </c>
      <c r="KU30" s="1">
        <v>0</v>
      </c>
      <c r="KV30" s="1">
        <v>0</v>
      </c>
      <c r="KW30" s="1">
        <v>0</v>
      </c>
      <c r="KX30" s="1">
        <v>0</v>
      </c>
      <c r="KY30" s="1">
        <v>0</v>
      </c>
      <c r="KZ30" s="1">
        <v>0</v>
      </c>
      <c r="LA30" s="1">
        <v>0</v>
      </c>
      <c r="LB30" s="1">
        <v>0</v>
      </c>
      <c r="LC30" s="1">
        <v>0</v>
      </c>
      <c r="LD30" s="1">
        <v>0</v>
      </c>
      <c r="LE30" s="1">
        <v>0</v>
      </c>
      <c r="LF30" s="1">
        <v>0</v>
      </c>
      <c r="LG30" s="1">
        <v>0</v>
      </c>
      <c r="LH30" s="1">
        <v>0</v>
      </c>
      <c r="LI30" s="1">
        <v>0</v>
      </c>
      <c r="LJ30" s="1">
        <v>0</v>
      </c>
      <c r="LK30" s="1">
        <v>0</v>
      </c>
      <c r="LL30" s="1">
        <v>0</v>
      </c>
      <c r="LM30" s="1">
        <v>0</v>
      </c>
      <c r="LN30" s="1">
        <v>0</v>
      </c>
      <c r="LO30" s="1">
        <v>0</v>
      </c>
      <c r="LP30" s="1">
        <v>0</v>
      </c>
      <c r="LQ30" s="1">
        <v>0</v>
      </c>
      <c r="LR30" s="1">
        <v>0</v>
      </c>
      <c r="LS30" s="1">
        <v>0</v>
      </c>
      <c r="LT30" s="1">
        <v>0</v>
      </c>
      <c r="LU30" s="1">
        <v>0</v>
      </c>
      <c r="LV30" s="1">
        <v>0</v>
      </c>
      <c r="LW30" s="1">
        <v>0</v>
      </c>
      <c r="LX30" s="1">
        <v>0</v>
      </c>
      <c r="LY30" s="1">
        <v>0</v>
      </c>
      <c r="LZ30" s="1">
        <v>0</v>
      </c>
      <c r="MA30" s="1">
        <v>0</v>
      </c>
      <c r="MB30" s="1">
        <v>0</v>
      </c>
      <c r="MC30" s="1">
        <v>0</v>
      </c>
      <c r="MD30" s="1">
        <v>0</v>
      </c>
    </row>
    <row r="31" spans="1:342" x14ac:dyDescent="0.25">
      <c r="A31" s="1" t="s">
        <v>42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">
        <v>0</v>
      </c>
      <c r="EF31" s="1">
        <v>0</v>
      </c>
      <c r="EG31" s="1">
        <v>0</v>
      </c>
      <c r="EH31" s="1">
        <v>0</v>
      </c>
      <c r="EI31" s="1">
        <v>0</v>
      </c>
      <c r="EJ31" s="1">
        <v>0</v>
      </c>
      <c r="EK31" s="1">
        <v>0</v>
      </c>
      <c r="EL31" s="1">
        <v>0</v>
      </c>
      <c r="EM31" s="1">
        <v>0</v>
      </c>
      <c r="EN31" s="1">
        <v>0</v>
      </c>
      <c r="EO31" s="1">
        <v>0</v>
      </c>
      <c r="EP31" s="1">
        <v>0</v>
      </c>
      <c r="EQ31" s="1">
        <v>0</v>
      </c>
      <c r="ER31" s="1">
        <v>0</v>
      </c>
      <c r="ES31" s="1">
        <v>0</v>
      </c>
      <c r="ET31" s="1">
        <v>0</v>
      </c>
      <c r="EU31" s="1">
        <v>0</v>
      </c>
      <c r="EV31" s="1">
        <v>0</v>
      </c>
      <c r="EW31" s="1">
        <v>0</v>
      </c>
      <c r="EX31" s="1">
        <v>0</v>
      </c>
      <c r="EY31" s="1">
        <v>0</v>
      </c>
      <c r="EZ31" s="1">
        <v>0</v>
      </c>
      <c r="FA31" s="1">
        <v>0</v>
      </c>
      <c r="FB31" s="1">
        <v>0</v>
      </c>
      <c r="FC31" s="1">
        <v>0</v>
      </c>
      <c r="FD31" s="1">
        <v>0</v>
      </c>
      <c r="FE31" s="1">
        <v>0</v>
      </c>
      <c r="FF31" s="1">
        <v>0</v>
      </c>
      <c r="FG31" s="1">
        <v>0</v>
      </c>
      <c r="FH31" s="1">
        <v>0</v>
      </c>
      <c r="FI31" s="1">
        <v>0</v>
      </c>
      <c r="FJ31" s="1">
        <v>0</v>
      </c>
      <c r="FK31" s="1">
        <v>0</v>
      </c>
      <c r="FL31" s="1">
        <v>0</v>
      </c>
      <c r="FM31" s="1">
        <v>0</v>
      </c>
      <c r="FN31" s="1">
        <v>0</v>
      </c>
      <c r="FO31" s="1">
        <v>0</v>
      </c>
      <c r="FP31" s="1">
        <v>0</v>
      </c>
      <c r="FQ31" s="1">
        <v>0</v>
      </c>
      <c r="FR31" s="1">
        <v>0</v>
      </c>
      <c r="FS31" s="1">
        <v>0</v>
      </c>
      <c r="FT31" s="1">
        <v>0</v>
      </c>
      <c r="FU31" s="1">
        <v>0</v>
      </c>
      <c r="FV31" s="1">
        <v>0</v>
      </c>
      <c r="FW31" s="1">
        <v>0</v>
      </c>
      <c r="FX31" s="1">
        <v>0</v>
      </c>
      <c r="FY31" s="1">
        <v>0</v>
      </c>
      <c r="FZ31" s="1">
        <v>0</v>
      </c>
      <c r="GA31" s="1">
        <v>0</v>
      </c>
      <c r="GB31" s="1">
        <v>0</v>
      </c>
      <c r="GC31" s="1">
        <v>0</v>
      </c>
      <c r="GD31" s="1">
        <v>0</v>
      </c>
      <c r="GE31" s="1">
        <v>0</v>
      </c>
      <c r="GF31" s="1">
        <v>0</v>
      </c>
      <c r="GG31" s="1">
        <v>0</v>
      </c>
      <c r="GH31" s="1">
        <v>0</v>
      </c>
      <c r="GI31" s="1">
        <v>0</v>
      </c>
      <c r="GJ31" s="1">
        <v>0</v>
      </c>
      <c r="GK31" s="1">
        <v>0</v>
      </c>
      <c r="GL31" s="1">
        <v>0</v>
      </c>
      <c r="GM31" s="1">
        <v>0</v>
      </c>
      <c r="GN31" s="1">
        <v>0</v>
      </c>
      <c r="GO31" s="1">
        <v>0</v>
      </c>
      <c r="GP31" s="1">
        <v>0</v>
      </c>
      <c r="GQ31" s="1">
        <v>0</v>
      </c>
      <c r="GR31" s="1">
        <v>0</v>
      </c>
      <c r="GS31" s="1">
        <v>0</v>
      </c>
      <c r="GT31" s="1">
        <v>0</v>
      </c>
      <c r="GU31" s="1">
        <v>0</v>
      </c>
      <c r="GV31" s="1">
        <v>0</v>
      </c>
      <c r="GW31" s="1">
        <v>0</v>
      </c>
      <c r="GX31" s="1">
        <v>0</v>
      </c>
      <c r="GY31" s="1">
        <v>0</v>
      </c>
      <c r="GZ31" s="1">
        <v>0</v>
      </c>
      <c r="HA31" s="1">
        <v>0</v>
      </c>
      <c r="HB31" s="1">
        <v>0</v>
      </c>
      <c r="HC31" s="1">
        <v>0</v>
      </c>
      <c r="HD31" s="1">
        <v>0</v>
      </c>
      <c r="HE31" s="1">
        <v>0</v>
      </c>
      <c r="HF31" s="1">
        <v>0</v>
      </c>
      <c r="HG31" s="1">
        <v>0</v>
      </c>
      <c r="HH31" s="1">
        <v>0</v>
      </c>
      <c r="HI31" s="1">
        <v>0</v>
      </c>
      <c r="HJ31" s="1">
        <v>0</v>
      </c>
      <c r="HK31" s="1">
        <v>0</v>
      </c>
      <c r="HL31" s="1">
        <v>0</v>
      </c>
      <c r="HM31" s="1">
        <v>0</v>
      </c>
      <c r="HN31" s="1">
        <v>0</v>
      </c>
      <c r="HO31" s="1">
        <v>0</v>
      </c>
      <c r="HP31" s="1">
        <v>0</v>
      </c>
      <c r="HQ31" s="1">
        <v>0</v>
      </c>
      <c r="HR31" s="1">
        <v>0</v>
      </c>
      <c r="HS31" s="1">
        <v>0</v>
      </c>
      <c r="HT31" s="1">
        <v>0</v>
      </c>
      <c r="HU31" s="1">
        <v>0</v>
      </c>
      <c r="HV31" s="1">
        <v>0</v>
      </c>
      <c r="HW31" s="1">
        <v>0</v>
      </c>
      <c r="HX31" s="1">
        <v>0</v>
      </c>
      <c r="HY31" s="1">
        <v>0</v>
      </c>
      <c r="HZ31" s="1">
        <v>0</v>
      </c>
      <c r="IA31" s="1">
        <v>0</v>
      </c>
      <c r="IB31" s="1">
        <v>0</v>
      </c>
      <c r="IC31" s="1">
        <v>0</v>
      </c>
      <c r="ID31" s="1">
        <v>0</v>
      </c>
      <c r="IE31" s="1">
        <v>0</v>
      </c>
      <c r="IF31" s="1">
        <v>0</v>
      </c>
      <c r="IG31" s="1">
        <v>0</v>
      </c>
      <c r="IH31" s="1">
        <v>0</v>
      </c>
      <c r="II31" s="1">
        <v>0</v>
      </c>
      <c r="IJ31" s="1">
        <v>0</v>
      </c>
      <c r="IK31" s="1">
        <v>0</v>
      </c>
      <c r="IL31" s="1">
        <v>0</v>
      </c>
      <c r="IM31" s="1">
        <v>0</v>
      </c>
      <c r="IN31" s="1">
        <v>0</v>
      </c>
      <c r="IO31" s="1">
        <v>0</v>
      </c>
      <c r="IP31" s="1">
        <v>0</v>
      </c>
      <c r="IQ31" s="1">
        <v>0</v>
      </c>
      <c r="IR31" s="1">
        <v>0</v>
      </c>
      <c r="IS31" s="1">
        <v>0</v>
      </c>
      <c r="IT31" s="1">
        <v>0</v>
      </c>
      <c r="IU31" s="1">
        <v>0</v>
      </c>
      <c r="IV31" s="1">
        <v>0</v>
      </c>
      <c r="IW31" s="1">
        <v>0</v>
      </c>
      <c r="IX31" s="1">
        <v>0</v>
      </c>
      <c r="IY31" s="1">
        <v>0</v>
      </c>
      <c r="IZ31" s="1">
        <v>0</v>
      </c>
      <c r="JA31" s="1">
        <v>0</v>
      </c>
      <c r="JB31" s="1">
        <v>0</v>
      </c>
      <c r="JC31" s="1">
        <v>0</v>
      </c>
      <c r="JD31" s="1">
        <v>0</v>
      </c>
      <c r="JE31" s="1">
        <v>0</v>
      </c>
      <c r="JF31" s="1">
        <v>0</v>
      </c>
      <c r="JG31" s="1">
        <v>0</v>
      </c>
      <c r="JH31" s="1">
        <v>0</v>
      </c>
      <c r="JI31" s="1">
        <v>0</v>
      </c>
      <c r="JJ31" s="1">
        <v>0</v>
      </c>
      <c r="JK31" s="1">
        <v>0</v>
      </c>
      <c r="JL31" s="1">
        <v>0</v>
      </c>
      <c r="JM31" s="1">
        <v>0</v>
      </c>
      <c r="JN31" s="1">
        <v>0</v>
      </c>
      <c r="JO31" s="1">
        <v>0</v>
      </c>
      <c r="JP31" s="1">
        <v>0</v>
      </c>
      <c r="JQ31" s="1">
        <v>0</v>
      </c>
      <c r="JR31" s="1">
        <v>0</v>
      </c>
      <c r="JS31" s="1">
        <v>0</v>
      </c>
      <c r="JT31" s="1">
        <v>0</v>
      </c>
      <c r="JU31" s="1">
        <v>0</v>
      </c>
      <c r="JV31" s="1">
        <v>0</v>
      </c>
      <c r="JW31" s="1">
        <v>0</v>
      </c>
      <c r="JX31" s="1">
        <v>0</v>
      </c>
      <c r="JY31" s="1">
        <v>0</v>
      </c>
      <c r="JZ31" s="1">
        <v>0</v>
      </c>
      <c r="KA31" s="1">
        <v>0</v>
      </c>
      <c r="KB31" s="1">
        <v>0</v>
      </c>
      <c r="KC31" s="1">
        <v>0</v>
      </c>
      <c r="KD31" s="1">
        <v>0</v>
      </c>
      <c r="KE31" s="1">
        <v>0</v>
      </c>
      <c r="KF31" s="1">
        <v>0</v>
      </c>
      <c r="KG31" s="1">
        <v>0</v>
      </c>
      <c r="KH31" s="1">
        <v>0</v>
      </c>
      <c r="KI31" s="1">
        <v>0</v>
      </c>
      <c r="KJ31" s="1">
        <v>0</v>
      </c>
      <c r="KK31" s="1">
        <v>0</v>
      </c>
      <c r="KL31" s="1">
        <v>0</v>
      </c>
      <c r="KM31" s="1">
        <v>0</v>
      </c>
      <c r="KN31" s="1">
        <v>0</v>
      </c>
      <c r="KO31" s="1">
        <v>0</v>
      </c>
      <c r="KP31" s="1">
        <v>0</v>
      </c>
      <c r="KQ31" s="1">
        <v>0</v>
      </c>
      <c r="KR31" s="1">
        <v>0</v>
      </c>
      <c r="KS31" s="1">
        <v>0</v>
      </c>
      <c r="KT31" s="1">
        <v>0</v>
      </c>
      <c r="KU31" s="1">
        <v>0</v>
      </c>
      <c r="KV31" s="1">
        <v>0</v>
      </c>
      <c r="KW31" s="1">
        <v>0</v>
      </c>
      <c r="KX31" s="1">
        <v>0</v>
      </c>
      <c r="KY31" s="1">
        <v>0</v>
      </c>
      <c r="KZ31" s="1">
        <v>0</v>
      </c>
      <c r="LA31" s="1">
        <v>0</v>
      </c>
      <c r="LB31" s="1">
        <v>0</v>
      </c>
      <c r="LC31" s="1">
        <v>0</v>
      </c>
      <c r="LD31" s="1">
        <v>0</v>
      </c>
      <c r="LE31" s="1">
        <v>0</v>
      </c>
      <c r="LF31" s="1">
        <v>0</v>
      </c>
      <c r="LG31" s="1">
        <v>0</v>
      </c>
      <c r="LH31" s="1">
        <v>0</v>
      </c>
      <c r="LI31" s="1">
        <v>0</v>
      </c>
      <c r="LJ31" s="1">
        <v>0</v>
      </c>
      <c r="LK31" s="1">
        <v>0</v>
      </c>
      <c r="LL31" s="1">
        <v>0</v>
      </c>
      <c r="LM31" s="1">
        <v>0</v>
      </c>
      <c r="LN31" s="1">
        <v>0</v>
      </c>
      <c r="LO31" s="1">
        <v>0</v>
      </c>
      <c r="LP31" s="1">
        <v>0</v>
      </c>
      <c r="LQ31" s="1">
        <v>0</v>
      </c>
      <c r="LR31" s="1">
        <v>0</v>
      </c>
      <c r="LS31" s="1">
        <v>0</v>
      </c>
      <c r="LT31" s="1">
        <v>0</v>
      </c>
      <c r="LU31" s="1">
        <v>0</v>
      </c>
      <c r="LV31" s="1">
        <v>0</v>
      </c>
      <c r="LW31" s="1">
        <v>0</v>
      </c>
      <c r="LX31" s="1">
        <v>0</v>
      </c>
      <c r="LY31" s="1">
        <v>0</v>
      </c>
      <c r="LZ31" s="1">
        <v>0</v>
      </c>
      <c r="MA31" s="1">
        <v>0</v>
      </c>
      <c r="MB31" s="1">
        <v>0</v>
      </c>
      <c r="MC31" s="1">
        <v>0</v>
      </c>
      <c r="MD31" s="1">
        <v>0</v>
      </c>
    </row>
    <row r="32" spans="1:3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</row>
    <row r="33" spans="1:3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</row>
    <row r="34" spans="1:3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</row>
    <row r="35" spans="1:3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</row>
    <row r="36" spans="1:3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</row>
  </sheetData>
  <mergeCells count="124">
    <mergeCell ref="LI28:LM28"/>
    <mergeCell ref="LN28:LR28"/>
    <mergeCell ref="LS28:LS29"/>
    <mergeCell ref="LT28:LX28"/>
    <mergeCell ref="LY28:MC28"/>
    <mergeCell ref="MD28:MD29"/>
    <mergeCell ref="KM28:KQ28"/>
    <mergeCell ref="KR28:KV28"/>
    <mergeCell ref="KW28:KW29"/>
    <mergeCell ref="KX28:LB28"/>
    <mergeCell ref="LC28:LG28"/>
    <mergeCell ref="LH28:LH29"/>
    <mergeCell ref="JQ28:JU28"/>
    <mergeCell ref="JV28:JZ28"/>
    <mergeCell ref="KA28:KA29"/>
    <mergeCell ref="KB28:KF28"/>
    <mergeCell ref="KG28:KK28"/>
    <mergeCell ref="KL28:KL29"/>
    <mergeCell ref="IU28:IY28"/>
    <mergeCell ref="IZ28:JD28"/>
    <mergeCell ref="JE28:JE29"/>
    <mergeCell ref="JF28:JJ28"/>
    <mergeCell ref="JK28:JO28"/>
    <mergeCell ref="JP28:JP29"/>
    <mergeCell ref="II28:II29"/>
    <mergeCell ref="IJ28:IN28"/>
    <mergeCell ref="IO28:IS28"/>
    <mergeCell ref="IT28:IT29"/>
    <mergeCell ref="HC28:HG28"/>
    <mergeCell ref="HH28:HL28"/>
    <mergeCell ref="HM28:HM29"/>
    <mergeCell ref="HN28:HR28"/>
    <mergeCell ref="HS28:HW28"/>
    <mergeCell ref="HX28:HX29"/>
    <mergeCell ref="HB28:HB29"/>
    <mergeCell ref="FK28:FO28"/>
    <mergeCell ref="FP28:FT28"/>
    <mergeCell ref="FU28:FU29"/>
    <mergeCell ref="FV28:FZ28"/>
    <mergeCell ref="GA28:GE28"/>
    <mergeCell ref="GF28:GF29"/>
    <mergeCell ref="HY28:IC28"/>
    <mergeCell ref="ID28:IH28"/>
    <mergeCell ref="EC28:EC29"/>
    <mergeCell ref="ED28:EH28"/>
    <mergeCell ref="EI28:EM28"/>
    <mergeCell ref="EN28:EN29"/>
    <mergeCell ref="GG28:GK28"/>
    <mergeCell ref="GL28:GP28"/>
    <mergeCell ref="GQ28:GQ29"/>
    <mergeCell ref="GR28:GV28"/>
    <mergeCell ref="GW28:HA28"/>
    <mergeCell ref="AI28:AM28"/>
    <mergeCell ref="AN28:AR28"/>
    <mergeCell ref="AS28:AS29"/>
    <mergeCell ref="AT28:AX28"/>
    <mergeCell ref="AY28:BC28"/>
    <mergeCell ref="BD28:BD29"/>
    <mergeCell ref="CW28:DA28"/>
    <mergeCell ref="DB28:DF28"/>
    <mergeCell ref="DG28:DG29"/>
    <mergeCell ref="CA28:CE28"/>
    <mergeCell ref="CF28:CJ28"/>
    <mergeCell ref="CK28:CK29"/>
    <mergeCell ref="CL28:CP28"/>
    <mergeCell ref="CQ28:CU28"/>
    <mergeCell ref="CV28:CV29"/>
    <mergeCell ref="HC27:HM27"/>
    <mergeCell ref="HN27:HX27"/>
    <mergeCell ref="HY27:II27"/>
    <mergeCell ref="IJ27:IT27"/>
    <mergeCell ref="IU27:JE27"/>
    <mergeCell ref="ED27:EN27"/>
    <mergeCell ref="EO27:EY27"/>
    <mergeCell ref="BE28:BI28"/>
    <mergeCell ref="BJ28:BN28"/>
    <mergeCell ref="BO28:BO29"/>
    <mergeCell ref="BP28:BT28"/>
    <mergeCell ref="BU28:BY28"/>
    <mergeCell ref="BZ28:BZ29"/>
    <mergeCell ref="DH28:DL28"/>
    <mergeCell ref="DM28:DQ28"/>
    <mergeCell ref="DR28:DR29"/>
    <mergeCell ref="EO28:ES28"/>
    <mergeCell ref="ET28:EX28"/>
    <mergeCell ref="EY28:EY29"/>
    <mergeCell ref="EZ28:FD28"/>
    <mergeCell ref="FE28:FI28"/>
    <mergeCell ref="FJ28:FJ29"/>
    <mergeCell ref="DS28:DW28"/>
    <mergeCell ref="DX28:EB28"/>
    <mergeCell ref="GG27:GQ27"/>
    <mergeCell ref="BP27:BZ27"/>
    <mergeCell ref="CA27:CK27"/>
    <mergeCell ref="CL27:CV27"/>
    <mergeCell ref="CW27:DG27"/>
    <mergeCell ref="DH27:DR27"/>
    <mergeCell ref="DS27:EC27"/>
    <mergeCell ref="LT27:MD27"/>
    <mergeCell ref="B28:F28"/>
    <mergeCell ref="G28:K28"/>
    <mergeCell ref="L28:L29"/>
    <mergeCell ref="M28:Q28"/>
    <mergeCell ref="R28:V28"/>
    <mergeCell ref="W28:W29"/>
    <mergeCell ref="X28:AB28"/>
    <mergeCell ref="AC28:AG28"/>
    <mergeCell ref="AH28:AH29"/>
    <mergeCell ref="JF27:JP27"/>
    <mergeCell ref="JQ27:KA27"/>
    <mergeCell ref="KB27:KL27"/>
    <mergeCell ref="KM27:KW27"/>
    <mergeCell ref="KX27:LH27"/>
    <mergeCell ref="LI27:LS27"/>
    <mergeCell ref="GR27:HB27"/>
    <mergeCell ref="B27:L27"/>
    <mergeCell ref="M27:W27"/>
    <mergeCell ref="X27:AH27"/>
    <mergeCell ref="AI27:AS27"/>
    <mergeCell ref="AT27:BD27"/>
    <mergeCell ref="BE27:BO27"/>
    <mergeCell ref="EZ27:FJ27"/>
    <mergeCell ref="FK27:FU27"/>
    <mergeCell ref="FV27:GF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AI35"/>
  <sheetViews>
    <sheetView tabSelected="1" zoomScaleNormal="100" workbookViewId="0">
      <selection activeCell="AG33" sqref="AG33"/>
    </sheetView>
  </sheetViews>
  <sheetFormatPr defaultRowHeight="9.75" customHeight="1" x14ac:dyDescent="0.2"/>
  <cols>
    <col min="1" max="1" width="18.85546875" style="18" customWidth="1"/>
    <col min="2" max="2" width="3.7109375" style="18" customWidth="1"/>
    <col min="3" max="7" width="3.5703125" style="18" customWidth="1"/>
    <col min="8" max="8" width="3.7109375" style="18" customWidth="1"/>
    <col min="9" max="9" width="3.5703125" style="18" customWidth="1"/>
    <col min="10" max="11" width="3.42578125" style="18" customWidth="1"/>
    <col min="12" max="12" width="3.28515625" style="18" customWidth="1"/>
    <col min="13" max="14" width="3.42578125" style="18" customWidth="1"/>
    <col min="15" max="15" width="3.7109375" style="18" customWidth="1"/>
    <col min="16" max="16" width="3.5703125" style="18" customWidth="1"/>
    <col min="17" max="17" width="4" style="18" customWidth="1"/>
    <col min="18" max="18" width="4.42578125" style="18" customWidth="1"/>
    <col min="19" max="19" width="4.5703125" style="18" customWidth="1"/>
    <col min="20" max="20" width="3.5703125" style="18" customWidth="1"/>
    <col min="21" max="23" width="3.7109375" style="18" customWidth="1"/>
    <col min="24" max="24" width="4.140625" style="18" customWidth="1"/>
    <col min="25" max="25" width="3.7109375" style="18" customWidth="1"/>
    <col min="26" max="26" width="3.5703125" style="18" customWidth="1"/>
    <col min="27" max="27" width="3.42578125" style="18" customWidth="1"/>
    <col min="28" max="28" width="3.5703125" style="18" customWidth="1"/>
    <col min="29" max="29" width="3.7109375" style="18" customWidth="1"/>
    <col min="30" max="30" width="3.85546875" style="18" customWidth="1"/>
    <col min="31" max="31" width="4" style="18" customWidth="1"/>
    <col min="32" max="32" width="4.85546875" style="18" customWidth="1"/>
    <col min="33" max="33" width="15.140625" style="18" customWidth="1"/>
    <col min="34" max="16384" width="9.140625" style="18"/>
  </cols>
  <sheetData>
    <row r="1" spans="1:35" ht="9.75" customHeight="1" x14ac:dyDescent="0.2">
      <c r="A1" s="17" t="s">
        <v>27</v>
      </c>
      <c r="B1" s="67">
        <v>1</v>
      </c>
      <c r="C1" s="69">
        <v>2</v>
      </c>
      <c r="D1" s="69">
        <v>3</v>
      </c>
      <c r="E1" s="69">
        <v>4</v>
      </c>
      <c r="F1" s="69">
        <v>5</v>
      </c>
      <c r="G1" s="65">
        <v>6</v>
      </c>
      <c r="H1" s="69">
        <v>7</v>
      </c>
      <c r="I1" s="69">
        <v>8</v>
      </c>
      <c r="J1" s="69">
        <v>9</v>
      </c>
      <c r="K1" s="69">
        <v>10</v>
      </c>
      <c r="L1" s="69">
        <v>11</v>
      </c>
      <c r="M1" s="65">
        <v>12</v>
      </c>
      <c r="N1" s="65">
        <v>13</v>
      </c>
      <c r="O1" s="65">
        <v>14</v>
      </c>
      <c r="P1" s="65">
        <v>15</v>
      </c>
      <c r="Q1" s="65">
        <v>16</v>
      </c>
      <c r="R1" s="65">
        <v>17</v>
      </c>
      <c r="S1" s="65">
        <v>18</v>
      </c>
      <c r="T1" s="65">
        <v>19</v>
      </c>
      <c r="U1" s="65">
        <v>20</v>
      </c>
      <c r="V1" s="65">
        <v>21</v>
      </c>
      <c r="W1" s="65">
        <v>22</v>
      </c>
      <c r="X1" s="65">
        <v>23</v>
      </c>
      <c r="Y1" s="65">
        <v>24</v>
      </c>
      <c r="Z1" s="65">
        <v>25</v>
      </c>
      <c r="AA1" s="65">
        <v>26</v>
      </c>
      <c r="AB1" s="65">
        <v>27</v>
      </c>
      <c r="AC1" s="65">
        <v>28</v>
      </c>
      <c r="AD1" s="65">
        <v>29</v>
      </c>
      <c r="AE1" s="65">
        <v>30</v>
      </c>
      <c r="AF1" s="71">
        <v>31</v>
      </c>
      <c r="AG1" s="50" t="s">
        <v>63</v>
      </c>
      <c r="AH1" s="50" t="s">
        <v>62</v>
      </c>
      <c r="AI1" s="25" t="s">
        <v>64</v>
      </c>
    </row>
    <row r="2" spans="1:35" ht="9.75" customHeight="1" thickBot="1" x14ac:dyDescent="0.25">
      <c r="A2" s="19" t="s">
        <v>28</v>
      </c>
      <c r="B2" s="68"/>
      <c r="C2" s="70"/>
      <c r="D2" s="70"/>
      <c r="E2" s="70"/>
      <c r="F2" s="70"/>
      <c r="G2" s="66"/>
      <c r="H2" s="70"/>
      <c r="I2" s="70"/>
      <c r="J2" s="70"/>
      <c r="K2" s="70"/>
      <c r="L2" s="70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72"/>
      <c r="AG2" s="44"/>
      <c r="AH2" s="44"/>
      <c r="AI2" s="44"/>
    </row>
    <row r="3" spans="1:35" ht="9.75" customHeight="1" thickBot="1" x14ac:dyDescent="0.25">
      <c r="A3" s="43">
        <v>1540</v>
      </c>
      <c r="B3" s="73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48"/>
      <c r="AH3" s="48"/>
      <c r="AI3" s="49"/>
    </row>
    <row r="4" spans="1:35" ht="9.75" customHeight="1" x14ac:dyDescent="0.2">
      <c r="A4" s="30" t="s">
        <v>29</v>
      </c>
      <c r="B4" s="28">
        <v>0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32">
        <v>0</v>
      </c>
      <c r="I4" s="32">
        <v>0</v>
      </c>
      <c r="J4" s="32">
        <v>0</v>
      </c>
      <c r="K4" s="32">
        <v>0</v>
      </c>
      <c r="L4" s="32">
        <v>0</v>
      </c>
      <c r="M4" s="32">
        <v>0</v>
      </c>
      <c r="N4" s="32">
        <v>0</v>
      </c>
      <c r="O4" s="32">
        <v>0</v>
      </c>
      <c r="P4" s="32">
        <v>0</v>
      </c>
      <c r="Q4" s="32">
        <v>0</v>
      </c>
      <c r="R4" s="32">
        <v>0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0</v>
      </c>
      <c r="Y4" s="32">
        <v>0</v>
      </c>
      <c r="Z4" s="32">
        <v>0</v>
      </c>
      <c r="AA4" s="32">
        <v>0</v>
      </c>
      <c r="AB4" s="32">
        <v>0</v>
      </c>
      <c r="AC4" s="32">
        <v>0</v>
      </c>
      <c r="AD4" s="32">
        <v>0</v>
      </c>
      <c r="AE4" s="32">
        <v>0</v>
      </c>
      <c r="AF4" s="53">
        <v>0</v>
      </c>
      <c r="AG4" s="32">
        <f>SUM(B4:AF4)</f>
        <v>0</v>
      </c>
      <c r="AH4" s="32">
        <v>1.5</v>
      </c>
      <c r="AI4" s="32">
        <f>AG4*AH4</f>
        <v>0</v>
      </c>
    </row>
    <row r="5" spans="1:35" ht="15" customHeight="1" x14ac:dyDescent="0.2">
      <c r="A5" s="20" t="s">
        <v>46</v>
      </c>
      <c r="B5" s="42">
        <v>0</v>
      </c>
      <c r="C5" s="25">
        <v>0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I5" s="25">
        <v>0</v>
      </c>
      <c r="J5" s="25">
        <v>0</v>
      </c>
      <c r="K5" s="25">
        <v>0</v>
      </c>
      <c r="L5" s="25">
        <v>0</v>
      </c>
      <c r="M5" s="25">
        <v>0</v>
      </c>
      <c r="N5" s="25">
        <v>0</v>
      </c>
      <c r="O5" s="25">
        <v>0</v>
      </c>
      <c r="P5" s="25">
        <v>0</v>
      </c>
      <c r="Q5" s="25">
        <v>0</v>
      </c>
      <c r="R5" s="25">
        <v>0</v>
      </c>
      <c r="S5" s="25">
        <v>0</v>
      </c>
      <c r="T5" s="25">
        <v>0</v>
      </c>
      <c r="U5" s="25">
        <v>0</v>
      </c>
      <c r="V5" s="25">
        <v>0</v>
      </c>
      <c r="W5" s="25">
        <v>0</v>
      </c>
      <c r="X5" s="25">
        <v>0</v>
      </c>
      <c r="Y5" s="25">
        <v>0</v>
      </c>
      <c r="Z5" s="25">
        <v>0</v>
      </c>
      <c r="AA5" s="25">
        <v>0</v>
      </c>
      <c r="AB5" s="25">
        <v>0</v>
      </c>
      <c r="AC5" s="25">
        <v>0</v>
      </c>
      <c r="AD5" s="25">
        <v>0</v>
      </c>
      <c r="AE5" s="25">
        <v>0</v>
      </c>
      <c r="AF5" s="51">
        <v>0</v>
      </c>
      <c r="AG5" s="32">
        <f>SUM(B5:AF5)</f>
        <v>0</v>
      </c>
      <c r="AH5" s="32">
        <v>1.5</v>
      </c>
      <c r="AI5" s="32">
        <f t="shared" ref="AI5:AI11" si="0">AG5*AH5</f>
        <v>0</v>
      </c>
    </row>
    <row r="6" spans="1:35" ht="15" customHeight="1" x14ac:dyDescent="0.2">
      <c r="A6" s="20" t="s">
        <v>47</v>
      </c>
      <c r="B6" s="42">
        <v>0</v>
      </c>
      <c r="C6" s="25">
        <v>0</v>
      </c>
      <c r="D6" s="25">
        <v>0</v>
      </c>
      <c r="E6" s="25">
        <v>0</v>
      </c>
      <c r="F6" s="25">
        <v>0</v>
      </c>
      <c r="G6" s="25">
        <v>0</v>
      </c>
      <c r="H6" s="25">
        <v>0</v>
      </c>
      <c r="I6" s="25">
        <v>0</v>
      </c>
      <c r="J6" s="25">
        <v>0</v>
      </c>
      <c r="K6" s="25">
        <v>0</v>
      </c>
      <c r="L6" s="25">
        <v>0</v>
      </c>
      <c r="M6" s="25">
        <v>0</v>
      </c>
      <c r="N6" s="25">
        <v>0</v>
      </c>
      <c r="O6" s="25">
        <v>0</v>
      </c>
      <c r="P6" s="25">
        <v>0</v>
      </c>
      <c r="Q6" s="25">
        <v>0</v>
      </c>
      <c r="R6" s="25">
        <v>0</v>
      </c>
      <c r="S6" s="25">
        <v>0</v>
      </c>
      <c r="T6" s="25">
        <v>0</v>
      </c>
      <c r="U6" s="25">
        <v>0</v>
      </c>
      <c r="V6" s="25">
        <v>0</v>
      </c>
      <c r="W6" s="25">
        <v>0</v>
      </c>
      <c r="X6" s="25">
        <v>0</v>
      </c>
      <c r="Y6" s="25">
        <v>0</v>
      </c>
      <c r="Z6" s="25">
        <v>0</v>
      </c>
      <c r="AA6" s="25">
        <v>0</v>
      </c>
      <c r="AB6" s="25">
        <v>0</v>
      </c>
      <c r="AC6" s="25">
        <v>0</v>
      </c>
      <c r="AD6" s="25">
        <v>0</v>
      </c>
      <c r="AE6" s="25">
        <v>0</v>
      </c>
      <c r="AF6" s="51">
        <v>0</v>
      </c>
      <c r="AG6" s="32">
        <f t="shared" ref="AG6:AG10" si="1">SUM(B6:AF6)</f>
        <v>0</v>
      </c>
      <c r="AH6" s="32">
        <v>1.5</v>
      </c>
      <c r="AI6" s="32">
        <f t="shared" si="0"/>
        <v>0</v>
      </c>
    </row>
    <row r="7" spans="1:35" ht="15" customHeight="1" x14ac:dyDescent="0.2">
      <c r="A7" s="20" t="s">
        <v>61</v>
      </c>
      <c r="B7" s="42">
        <v>0</v>
      </c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J7" s="25">
        <v>0</v>
      </c>
      <c r="K7" s="25">
        <v>0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U7" s="25">
        <v>0</v>
      </c>
      <c r="V7" s="25">
        <v>0</v>
      </c>
      <c r="W7" s="25">
        <v>0</v>
      </c>
      <c r="X7" s="25">
        <v>0</v>
      </c>
      <c r="Y7" s="25">
        <v>0</v>
      </c>
      <c r="Z7" s="25">
        <v>0</v>
      </c>
      <c r="AA7" s="25">
        <v>0</v>
      </c>
      <c r="AB7" s="25">
        <v>0</v>
      </c>
      <c r="AC7" s="25">
        <v>0</v>
      </c>
      <c r="AD7" s="25">
        <v>0</v>
      </c>
      <c r="AE7" s="25">
        <v>0</v>
      </c>
      <c r="AF7" s="51">
        <v>0</v>
      </c>
      <c r="AG7" s="32">
        <f>SUM(B7:AF7)</f>
        <v>0</v>
      </c>
      <c r="AH7" s="32">
        <v>1.5</v>
      </c>
      <c r="AI7" s="32">
        <f t="shared" si="0"/>
        <v>0</v>
      </c>
    </row>
    <row r="8" spans="1:35" ht="12" customHeight="1" x14ac:dyDescent="0.2">
      <c r="A8" s="20" t="s">
        <v>48</v>
      </c>
      <c r="B8" s="42">
        <v>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U8" s="25">
        <v>0</v>
      </c>
      <c r="V8" s="25">
        <v>0</v>
      </c>
      <c r="W8" s="25">
        <v>0</v>
      </c>
      <c r="X8" s="25">
        <v>0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51">
        <v>0</v>
      </c>
      <c r="AG8" s="32">
        <f t="shared" si="1"/>
        <v>0</v>
      </c>
      <c r="AH8" s="32">
        <v>1.5</v>
      </c>
      <c r="AI8" s="32">
        <f t="shared" si="0"/>
        <v>0</v>
      </c>
    </row>
    <row r="9" spans="1:35" ht="13.5" customHeight="1" x14ac:dyDescent="0.2">
      <c r="A9" s="20" t="s">
        <v>49</v>
      </c>
      <c r="B9" s="42">
        <v>0</v>
      </c>
      <c r="C9" s="25">
        <v>0</v>
      </c>
      <c r="D9" s="25">
        <v>0</v>
      </c>
      <c r="E9" s="25">
        <v>0</v>
      </c>
      <c r="F9" s="25">
        <v>0</v>
      </c>
      <c r="G9" s="25">
        <v>0</v>
      </c>
      <c r="H9" s="25">
        <v>0</v>
      </c>
      <c r="I9" s="25">
        <v>0</v>
      </c>
      <c r="J9" s="25">
        <v>0</v>
      </c>
      <c r="K9" s="25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U9" s="25">
        <v>0</v>
      </c>
      <c r="V9" s="25">
        <v>0</v>
      </c>
      <c r="W9" s="25">
        <v>0</v>
      </c>
      <c r="X9" s="25">
        <v>0</v>
      </c>
      <c r="Y9" s="25">
        <v>0</v>
      </c>
      <c r="Z9" s="25">
        <v>0</v>
      </c>
      <c r="AA9" s="25">
        <v>0</v>
      </c>
      <c r="AB9" s="25">
        <v>0</v>
      </c>
      <c r="AC9" s="25">
        <v>0</v>
      </c>
      <c r="AD9" s="25">
        <v>0</v>
      </c>
      <c r="AE9" s="25">
        <v>0</v>
      </c>
      <c r="AF9" s="51">
        <v>0</v>
      </c>
      <c r="AG9" s="32">
        <f t="shared" si="1"/>
        <v>0</v>
      </c>
      <c r="AH9" s="32">
        <v>1.5</v>
      </c>
      <c r="AI9" s="32">
        <f t="shared" si="0"/>
        <v>0</v>
      </c>
    </row>
    <row r="10" spans="1:35" ht="9.75" customHeight="1" x14ac:dyDescent="0.2">
      <c r="A10" s="20" t="s">
        <v>50</v>
      </c>
      <c r="B10" s="42">
        <v>0</v>
      </c>
      <c r="C10" s="25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5">
        <v>0</v>
      </c>
      <c r="K10" s="25">
        <v>0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U10" s="25">
        <v>0</v>
      </c>
      <c r="V10" s="25">
        <v>0</v>
      </c>
      <c r="W10" s="25">
        <v>0</v>
      </c>
      <c r="X10" s="25">
        <v>0</v>
      </c>
      <c r="Y10" s="25">
        <v>0</v>
      </c>
      <c r="Z10" s="25">
        <v>0</v>
      </c>
      <c r="AA10" s="25">
        <v>0</v>
      </c>
      <c r="AB10" s="25">
        <v>0</v>
      </c>
      <c r="AC10" s="25">
        <v>0</v>
      </c>
      <c r="AD10" s="25">
        <v>0</v>
      </c>
      <c r="AE10" s="25">
        <v>0</v>
      </c>
      <c r="AF10" s="51">
        <v>0</v>
      </c>
      <c r="AG10" s="32">
        <f t="shared" si="1"/>
        <v>0</v>
      </c>
      <c r="AH10" s="32">
        <v>1.5</v>
      </c>
      <c r="AI10" s="32">
        <f t="shared" si="0"/>
        <v>0</v>
      </c>
    </row>
    <row r="11" spans="1:35" ht="12" customHeight="1" x14ac:dyDescent="0.2">
      <c r="A11" s="31" t="s">
        <v>30</v>
      </c>
      <c r="B11" s="42">
        <f>SUM(B5:B10)</f>
        <v>0</v>
      </c>
      <c r="C11" s="42">
        <f t="shared" ref="C11:AF11" si="2">SUM(C5:C10)</f>
        <v>0</v>
      </c>
      <c r="D11" s="42">
        <f t="shared" si="2"/>
        <v>0</v>
      </c>
      <c r="E11" s="42">
        <f t="shared" si="2"/>
        <v>0</v>
      </c>
      <c r="F11" s="42">
        <f t="shared" si="2"/>
        <v>0</v>
      </c>
      <c r="G11" s="42">
        <f t="shared" si="2"/>
        <v>0</v>
      </c>
      <c r="H11" s="42">
        <f t="shared" si="2"/>
        <v>0</v>
      </c>
      <c r="I11" s="42">
        <f t="shared" si="2"/>
        <v>0</v>
      </c>
      <c r="J11" s="42">
        <f t="shared" si="2"/>
        <v>0</v>
      </c>
      <c r="K11" s="42">
        <f t="shared" si="2"/>
        <v>0</v>
      </c>
      <c r="L11" s="42">
        <f t="shared" si="2"/>
        <v>0</v>
      </c>
      <c r="M11" s="42">
        <f t="shared" si="2"/>
        <v>0</v>
      </c>
      <c r="N11" s="42">
        <f t="shared" si="2"/>
        <v>0</v>
      </c>
      <c r="O11" s="42">
        <f t="shared" si="2"/>
        <v>0</v>
      </c>
      <c r="P11" s="42">
        <f t="shared" si="2"/>
        <v>0</v>
      </c>
      <c r="Q11" s="42">
        <f t="shared" si="2"/>
        <v>0</v>
      </c>
      <c r="R11" s="42">
        <f t="shared" si="2"/>
        <v>0</v>
      </c>
      <c r="S11" s="42">
        <f t="shared" si="2"/>
        <v>0</v>
      </c>
      <c r="T11" s="42">
        <f t="shared" si="2"/>
        <v>0</v>
      </c>
      <c r="U11" s="42">
        <f t="shared" si="2"/>
        <v>0</v>
      </c>
      <c r="V11" s="42">
        <f t="shared" si="2"/>
        <v>0</v>
      </c>
      <c r="W11" s="42">
        <f t="shared" si="2"/>
        <v>0</v>
      </c>
      <c r="X11" s="42">
        <f t="shared" si="2"/>
        <v>0</v>
      </c>
      <c r="Y11" s="42">
        <f t="shared" si="2"/>
        <v>0</v>
      </c>
      <c r="Z11" s="42">
        <f t="shared" si="2"/>
        <v>0</v>
      </c>
      <c r="AA11" s="42">
        <f t="shared" si="2"/>
        <v>0</v>
      </c>
      <c r="AB11" s="42">
        <f t="shared" si="2"/>
        <v>0</v>
      </c>
      <c r="AC11" s="42">
        <f t="shared" si="2"/>
        <v>0</v>
      </c>
      <c r="AD11" s="42">
        <f t="shared" si="2"/>
        <v>0</v>
      </c>
      <c r="AE11" s="42">
        <f t="shared" si="2"/>
        <v>0</v>
      </c>
      <c r="AF11" s="42">
        <f t="shared" si="2"/>
        <v>0</v>
      </c>
      <c r="AG11" s="25">
        <f>SUM(AG5:AG10)</f>
        <v>0</v>
      </c>
      <c r="AH11" s="32">
        <v>1.5</v>
      </c>
      <c r="AI11" s="32">
        <f t="shared" si="0"/>
        <v>0</v>
      </c>
    </row>
    <row r="12" spans="1:35" ht="11.25" customHeight="1" thickBot="1" x14ac:dyDescent="0.25">
      <c r="A12" s="29" t="s">
        <v>31</v>
      </c>
      <c r="B12" s="41" t="e">
        <f t="shared" ref="B12:AF12" si="3">B11*100/(B4+B11)</f>
        <v>#DIV/0!</v>
      </c>
      <c r="C12" s="44" t="e">
        <f t="shared" si="3"/>
        <v>#DIV/0!</v>
      </c>
      <c r="D12" s="44" t="e">
        <f t="shared" si="3"/>
        <v>#DIV/0!</v>
      </c>
      <c r="E12" s="44" t="e">
        <f t="shared" si="3"/>
        <v>#DIV/0!</v>
      </c>
      <c r="F12" s="44" t="e">
        <f t="shared" si="3"/>
        <v>#DIV/0!</v>
      </c>
      <c r="G12" s="44" t="e">
        <f t="shared" si="3"/>
        <v>#DIV/0!</v>
      </c>
      <c r="H12" s="44" t="e">
        <f t="shared" si="3"/>
        <v>#DIV/0!</v>
      </c>
      <c r="I12" s="45" t="e">
        <f t="shared" si="3"/>
        <v>#DIV/0!</v>
      </c>
      <c r="J12" s="44" t="e">
        <f t="shared" si="3"/>
        <v>#DIV/0!</v>
      </c>
      <c r="K12" s="44" t="e">
        <f t="shared" si="3"/>
        <v>#DIV/0!</v>
      </c>
      <c r="L12" s="44" t="e">
        <f t="shared" si="3"/>
        <v>#DIV/0!</v>
      </c>
      <c r="M12" s="44" t="e">
        <f t="shared" si="3"/>
        <v>#DIV/0!</v>
      </c>
      <c r="N12" s="44" t="e">
        <f t="shared" si="3"/>
        <v>#DIV/0!</v>
      </c>
      <c r="O12" s="44" t="e">
        <f t="shared" si="3"/>
        <v>#DIV/0!</v>
      </c>
      <c r="P12" s="44" t="e">
        <f t="shared" si="3"/>
        <v>#DIV/0!</v>
      </c>
      <c r="Q12" s="44" t="e">
        <f t="shared" si="3"/>
        <v>#DIV/0!</v>
      </c>
      <c r="R12" s="45" t="e">
        <f t="shared" si="3"/>
        <v>#DIV/0!</v>
      </c>
      <c r="S12" s="44" t="e">
        <f t="shared" si="3"/>
        <v>#DIV/0!</v>
      </c>
      <c r="T12" s="44" t="e">
        <f t="shared" si="3"/>
        <v>#DIV/0!</v>
      </c>
      <c r="U12" s="44" t="e">
        <f t="shared" si="3"/>
        <v>#DIV/0!</v>
      </c>
      <c r="V12" s="44" t="e">
        <f t="shared" si="3"/>
        <v>#DIV/0!</v>
      </c>
      <c r="W12" s="44" t="e">
        <f t="shared" si="3"/>
        <v>#DIV/0!</v>
      </c>
      <c r="X12" s="44" t="e">
        <f t="shared" si="3"/>
        <v>#DIV/0!</v>
      </c>
      <c r="Y12" s="44" t="e">
        <f t="shared" si="3"/>
        <v>#DIV/0!</v>
      </c>
      <c r="Z12" s="44" t="e">
        <f t="shared" si="3"/>
        <v>#DIV/0!</v>
      </c>
      <c r="AA12" s="44" t="e">
        <f t="shared" si="3"/>
        <v>#DIV/0!</v>
      </c>
      <c r="AB12" s="44" t="e">
        <f t="shared" si="3"/>
        <v>#DIV/0!</v>
      </c>
      <c r="AC12" s="44" t="e">
        <f t="shared" si="3"/>
        <v>#DIV/0!</v>
      </c>
      <c r="AD12" s="44" t="e">
        <f t="shared" si="3"/>
        <v>#DIV/0!</v>
      </c>
      <c r="AE12" s="44" t="e">
        <f t="shared" si="3"/>
        <v>#DIV/0!</v>
      </c>
      <c r="AF12" s="52" t="e">
        <f t="shared" si="3"/>
        <v>#DIV/0!</v>
      </c>
      <c r="AG12" s="44" t="e">
        <f>(100*AG11)/SUM(AG4:AG11)</f>
        <v>#DIV/0!</v>
      </c>
      <c r="AH12" s="44"/>
      <c r="AI12" s="44"/>
    </row>
    <row r="13" spans="1:35" ht="11.25" customHeight="1" thickBot="1" x14ac:dyDescent="0.25">
      <c r="A13" s="43">
        <v>1210</v>
      </c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48"/>
      <c r="AH13" s="48"/>
      <c r="AI13" s="49"/>
    </row>
    <row r="14" spans="1:35" ht="14.25" customHeight="1" x14ac:dyDescent="0.2">
      <c r="A14" s="17" t="s">
        <v>29</v>
      </c>
      <c r="B14" s="46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A14" s="32">
        <v>0</v>
      </c>
      <c r="AB14" s="32">
        <v>0</v>
      </c>
      <c r="AC14" s="32">
        <v>0</v>
      </c>
      <c r="AD14" s="32">
        <v>0</v>
      </c>
      <c r="AE14" s="32">
        <v>0</v>
      </c>
      <c r="AF14" s="53">
        <v>0</v>
      </c>
      <c r="AG14" s="32">
        <f>SUM(B14:AF14)</f>
        <v>0</v>
      </c>
      <c r="AH14" s="32">
        <v>1.2</v>
      </c>
      <c r="AI14" s="32">
        <f>AG14*AH14</f>
        <v>0</v>
      </c>
    </row>
    <row r="15" spans="1:35" ht="13.5" customHeight="1" x14ac:dyDescent="0.2">
      <c r="A15" s="20" t="s">
        <v>46</v>
      </c>
      <c r="B15" s="42">
        <v>0</v>
      </c>
      <c r="C15" s="25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5">
        <v>0</v>
      </c>
      <c r="L15" s="25">
        <v>0</v>
      </c>
      <c r="M15" s="25">
        <v>0</v>
      </c>
      <c r="N15" s="25">
        <v>0</v>
      </c>
      <c r="O15" s="25">
        <v>0</v>
      </c>
      <c r="P15" s="25">
        <v>0</v>
      </c>
      <c r="Q15" s="25">
        <v>0</v>
      </c>
      <c r="R15" s="25">
        <v>0</v>
      </c>
      <c r="S15" s="25">
        <v>0</v>
      </c>
      <c r="T15" s="25">
        <v>0</v>
      </c>
      <c r="U15" s="25">
        <v>0</v>
      </c>
      <c r="V15" s="25">
        <v>0</v>
      </c>
      <c r="W15" s="25">
        <v>0</v>
      </c>
      <c r="X15" s="25">
        <v>0</v>
      </c>
      <c r="Y15" s="25">
        <v>0</v>
      </c>
      <c r="Z15" s="25">
        <v>0</v>
      </c>
      <c r="AA15" s="25">
        <v>0</v>
      </c>
      <c r="AB15" s="25">
        <v>0</v>
      </c>
      <c r="AC15" s="25">
        <v>0</v>
      </c>
      <c r="AD15" s="25">
        <v>0</v>
      </c>
      <c r="AE15" s="25">
        <v>0</v>
      </c>
      <c r="AF15" s="51">
        <v>0</v>
      </c>
      <c r="AG15" s="25">
        <f>SUM(B15:AF15)</f>
        <v>0</v>
      </c>
      <c r="AH15" s="32">
        <v>1.2</v>
      </c>
      <c r="AI15" s="32">
        <f t="shared" ref="AI15:AI21" si="4">AG15*AH15</f>
        <v>0</v>
      </c>
    </row>
    <row r="16" spans="1:35" ht="12" customHeight="1" x14ac:dyDescent="0.2">
      <c r="A16" s="20" t="s">
        <v>47</v>
      </c>
      <c r="B16" s="42">
        <v>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5">
        <v>0</v>
      </c>
      <c r="K16" s="25">
        <v>0</v>
      </c>
      <c r="L16" s="25">
        <v>0</v>
      </c>
      <c r="M16" s="25">
        <v>0</v>
      </c>
      <c r="N16" s="25">
        <v>0</v>
      </c>
      <c r="O16" s="25">
        <v>0</v>
      </c>
      <c r="P16" s="25">
        <v>0</v>
      </c>
      <c r="Q16" s="25">
        <v>0</v>
      </c>
      <c r="R16" s="25">
        <v>0</v>
      </c>
      <c r="S16" s="25">
        <v>0</v>
      </c>
      <c r="T16" s="25">
        <v>0</v>
      </c>
      <c r="U16" s="25">
        <v>0</v>
      </c>
      <c r="V16" s="25">
        <v>0</v>
      </c>
      <c r="W16" s="25">
        <v>0</v>
      </c>
      <c r="X16" s="25">
        <v>0</v>
      </c>
      <c r="Y16" s="25">
        <v>0</v>
      </c>
      <c r="Z16" s="25">
        <v>0</v>
      </c>
      <c r="AA16" s="25">
        <v>0</v>
      </c>
      <c r="AB16" s="25">
        <v>0</v>
      </c>
      <c r="AC16" s="25">
        <v>0</v>
      </c>
      <c r="AD16" s="25">
        <v>0</v>
      </c>
      <c r="AE16" s="25">
        <v>0</v>
      </c>
      <c r="AF16" s="51">
        <v>0</v>
      </c>
      <c r="AG16" s="25">
        <f>SUM(B16:AF16)</f>
        <v>0</v>
      </c>
      <c r="AH16" s="32">
        <v>1.2</v>
      </c>
      <c r="AI16" s="32">
        <f t="shared" si="4"/>
        <v>0</v>
      </c>
    </row>
    <row r="17" spans="1:35" ht="12" customHeight="1" x14ac:dyDescent="0.2">
      <c r="A17" s="20" t="s">
        <v>61</v>
      </c>
      <c r="B17" s="42">
        <v>0</v>
      </c>
      <c r="C17" s="25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5">
        <v>0</v>
      </c>
      <c r="L17" s="25">
        <v>0</v>
      </c>
      <c r="M17" s="25">
        <v>0</v>
      </c>
      <c r="N17" s="25">
        <v>0</v>
      </c>
      <c r="O17" s="25">
        <v>0</v>
      </c>
      <c r="P17" s="25">
        <v>0</v>
      </c>
      <c r="Q17" s="25">
        <v>0</v>
      </c>
      <c r="R17" s="25">
        <v>0</v>
      </c>
      <c r="S17" s="25">
        <v>0</v>
      </c>
      <c r="T17" s="25">
        <v>0</v>
      </c>
      <c r="U17" s="25">
        <v>0</v>
      </c>
      <c r="V17" s="25">
        <v>0</v>
      </c>
      <c r="W17" s="25">
        <v>0</v>
      </c>
      <c r="X17" s="25">
        <v>0</v>
      </c>
      <c r="Y17" s="25">
        <v>0</v>
      </c>
      <c r="Z17" s="25">
        <v>0</v>
      </c>
      <c r="AA17" s="25">
        <v>0</v>
      </c>
      <c r="AB17" s="25">
        <v>0</v>
      </c>
      <c r="AC17" s="25">
        <v>0</v>
      </c>
      <c r="AD17" s="25">
        <v>0</v>
      </c>
      <c r="AE17" s="25">
        <v>0</v>
      </c>
      <c r="AF17" s="51">
        <v>0</v>
      </c>
      <c r="AG17" s="25">
        <f>SUM(B17:AF17)</f>
        <v>0</v>
      </c>
      <c r="AH17" s="32">
        <v>1.2</v>
      </c>
      <c r="AI17" s="32">
        <f t="shared" si="4"/>
        <v>0</v>
      </c>
    </row>
    <row r="18" spans="1:35" ht="13.5" customHeight="1" x14ac:dyDescent="0.2">
      <c r="A18" s="20" t="s">
        <v>48</v>
      </c>
      <c r="B18" s="42">
        <v>0</v>
      </c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5">
        <v>0</v>
      </c>
      <c r="L18" s="25">
        <v>0</v>
      </c>
      <c r="M18" s="25">
        <v>0</v>
      </c>
      <c r="N18" s="25">
        <v>0</v>
      </c>
      <c r="O18" s="25">
        <v>0</v>
      </c>
      <c r="P18" s="25">
        <v>0</v>
      </c>
      <c r="Q18" s="25">
        <v>0</v>
      </c>
      <c r="R18" s="25">
        <v>0</v>
      </c>
      <c r="S18" s="25">
        <v>0</v>
      </c>
      <c r="T18" s="25">
        <v>0</v>
      </c>
      <c r="U18" s="25">
        <v>0</v>
      </c>
      <c r="V18" s="25">
        <v>0</v>
      </c>
      <c r="W18" s="25">
        <v>0</v>
      </c>
      <c r="X18" s="25">
        <v>0</v>
      </c>
      <c r="Y18" s="25">
        <v>0</v>
      </c>
      <c r="Z18" s="25">
        <v>0</v>
      </c>
      <c r="AA18" s="25">
        <v>0</v>
      </c>
      <c r="AB18" s="25">
        <v>0</v>
      </c>
      <c r="AC18" s="25">
        <v>0</v>
      </c>
      <c r="AD18" s="25">
        <v>0</v>
      </c>
      <c r="AE18" s="25">
        <v>0</v>
      </c>
      <c r="AF18" s="51">
        <v>0</v>
      </c>
      <c r="AG18" s="25">
        <f t="shared" ref="AG18:AG19" si="5">SUM(B18:AF18)</f>
        <v>0</v>
      </c>
      <c r="AH18" s="32">
        <v>1.2</v>
      </c>
      <c r="AI18" s="32">
        <f t="shared" si="4"/>
        <v>0</v>
      </c>
    </row>
    <row r="19" spans="1:35" ht="12.75" customHeight="1" x14ac:dyDescent="0.2">
      <c r="A19" s="20" t="s">
        <v>49</v>
      </c>
      <c r="B19" s="42">
        <v>0</v>
      </c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5">
        <v>0</v>
      </c>
      <c r="K19" s="25">
        <v>0</v>
      </c>
      <c r="L19" s="25">
        <v>0</v>
      </c>
      <c r="M19" s="25">
        <v>0</v>
      </c>
      <c r="N19" s="25">
        <v>0</v>
      </c>
      <c r="O19" s="25">
        <v>0</v>
      </c>
      <c r="P19" s="25">
        <v>0</v>
      </c>
      <c r="Q19" s="25">
        <v>0</v>
      </c>
      <c r="R19" s="25">
        <v>0</v>
      </c>
      <c r="S19" s="25">
        <v>0</v>
      </c>
      <c r="T19" s="25">
        <v>0</v>
      </c>
      <c r="U19" s="25">
        <v>0</v>
      </c>
      <c r="V19" s="25">
        <v>0</v>
      </c>
      <c r="W19" s="25">
        <v>0</v>
      </c>
      <c r="X19" s="25">
        <v>0</v>
      </c>
      <c r="Y19" s="25">
        <v>0</v>
      </c>
      <c r="Z19" s="25">
        <v>0</v>
      </c>
      <c r="AA19" s="25">
        <v>0</v>
      </c>
      <c r="AB19" s="25">
        <v>0</v>
      </c>
      <c r="AC19" s="25">
        <v>0</v>
      </c>
      <c r="AD19" s="25">
        <v>0</v>
      </c>
      <c r="AE19" s="25">
        <v>0</v>
      </c>
      <c r="AF19" s="51">
        <v>0</v>
      </c>
      <c r="AG19" s="25">
        <f t="shared" si="5"/>
        <v>0</v>
      </c>
      <c r="AH19" s="32">
        <v>1.2</v>
      </c>
      <c r="AI19" s="32">
        <f t="shared" si="4"/>
        <v>0</v>
      </c>
    </row>
    <row r="20" spans="1:35" ht="12" customHeight="1" x14ac:dyDescent="0.2">
      <c r="A20" s="37" t="s">
        <v>50</v>
      </c>
      <c r="B20" s="42">
        <v>0</v>
      </c>
      <c r="C20" s="25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U20" s="25">
        <v>0</v>
      </c>
      <c r="V20" s="25">
        <v>0</v>
      </c>
      <c r="W20" s="25">
        <v>0</v>
      </c>
      <c r="X20" s="25">
        <v>0</v>
      </c>
      <c r="Y20" s="25">
        <v>0</v>
      </c>
      <c r="Z20" s="25">
        <v>0</v>
      </c>
      <c r="AA20" s="25">
        <v>0</v>
      </c>
      <c r="AB20" s="25">
        <v>0</v>
      </c>
      <c r="AC20" s="25">
        <v>0</v>
      </c>
      <c r="AD20" s="25">
        <v>0</v>
      </c>
      <c r="AE20" s="25">
        <v>0</v>
      </c>
      <c r="AF20" s="51">
        <v>0</v>
      </c>
      <c r="AG20" s="33">
        <f>SUM(B20:AF20)</f>
        <v>0</v>
      </c>
      <c r="AH20" s="32">
        <v>1.2</v>
      </c>
      <c r="AI20" s="32">
        <f t="shared" si="4"/>
        <v>0</v>
      </c>
    </row>
    <row r="21" spans="1:35" ht="9.75" customHeight="1" x14ac:dyDescent="0.2">
      <c r="A21" s="20" t="s">
        <v>30</v>
      </c>
      <c r="B21" s="42">
        <f>SUM(B15:B20)</f>
        <v>0</v>
      </c>
      <c r="C21" s="42">
        <f t="shared" ref="C21:AF21" si="6">SUM(C15:C20)</f>
        <v>0</v>
      </c>
      <c r="D21" s="42">
        <f>SUM(D15:D20)</f>
        <v>0</v>
      </c>
      <c r="E21" s="42">
        <f t="shared" si="6"/>
        <v>0</v>
      </c>
      <c r="F21" s="42">
        <f t="shared" si="6"/>
        <v>0</v>
      </c>
      <c r="G21" s="42">
        <f>SUM(G15:G20)</f>
        <v>0</v>
      </c>
      <c r="H21" s="42">
        <f t="shared" si="6"/>
        <v>0</v>
      </c>
      <c r="I21" s="42">
        <f t="shared" si="6"/>
        <v>0</v>
      </c>
      <c r="J21" s="42">
        <f t="shared" si="6"/>
        <v>0</v>
      </c>
      <c r="K21" s="42">
        <f t="shared" si="6"/>
        <v>0</v>
      </c>
      <c r="L21" s="42">
        <f t="shared" si="6"/>
        <v>0</v>
      </c>
      <c r="M21" s="42">
        <f t="shared" si="6"/>
        <v>0</v>
      </c>
      <c r="N21" s="42">
        <f t="shared" si="6"/>
        <v>0</v>
      </c>
      <c r="O21" s="42">
        <f t="shared" si="6"/>
        <v>0</v>
      </c>
      <c r="P21" s="42">
        <f t="shared" si="6"/>
        <v>0</v>
      </c>
      <c r="Q21" s="42">
        <f t="shared" si="6"/>
        <v>0</v>
      </c>
      <c r="R21" s="42">
        <f t="shared" si="6"/>
        <v>0</v>
      </c>
      <c r="S21" s="42">
        <f t="shared" si="6"/>
        <v>0</v>
      </c>
      <c r="T21" s="42">
        <f t="shared" si="6"/>
        <v>0</v>
      </c>
      <c r="U21" s="42">
        <f t="shared" si="6"/>
        <v>0</v>
      </c>
      <c r="V21" s="42">
        <f t="shared" si="6"/>
        <v>0</v>
      </c>
      <c r="W21" s="42">
        <f t="shared" si="6"/>
        <v>0</v>
      </c>
      <c r="X21" s="42">
        <f t="shared" si="6"/>
        <v>0</v>
      </c>
      <c r="Y21" s="42">
        <f t="shared" si="6"/>
        <v>0</v>
      </c>
      <c r="Z21" s="42">
        <f t="shared" si="6"/>
        <v>0</v>
      </c>
      <c r="AA21" s="42">
        <f t="shared" si="6"/>
        <v>0</v>
      </c>
      <c r="AB21" s="42">
        <f t="shared" si="6"/>
        <v>0</v>
      </c>
      <c r="AC21" s="42">
        <f t="shared" si="6"/>
        <v>0</v>
      </c>
      <c r="AD21" s="42">
        <f t="shared" si="6"/>
        <v>0</v>
      </c>
      <c r="AE21" s="42">
        <f t="shared" si="6"/>
        <v>0</v>
      </c>
      <c r="AF21" s="42">
        <f t="shared" si="6"/>
        <v>0</v>
      </c>
      <c r="AG21" s="33">
        <f>SUM(AG15:AG20)</f>
        <v>0</v>
      </c>
      <c r="AH21" s="32">
        <v>1.2</v>
      </c>
      <c r="AI21" s="32">
        <f t="shared" si="4"/>
        <v>0</v>
      </c>
    </row>
    <row r="22" spans="1:35" ht="9.75" customHeight="1" thickBot="1" x14ac:dyDescent="0.25">
      <c r="A22" s="19" t="s">
        <v>31</v>
      </c>
      <c r="B22" s="41" t="e">
        <f t="shared" ref="B22:AF22" si="7">B21*100/(B14+B21)</f>
        <v>#DIV/0!</v>
      </c>
      <c r="C22" s="44" t="e">
        <f t="shared" si="7"/>
        <v>#DIV/0!</v>
      </c>
      <c r="D22" s="44" t="e">
        <f t="shared" si="7"/>
        <v>#DIV/0!</v>
      </c>
      <c r="E22" s="44" t="e">
        <f t="shared" si="7"/>
        <v>#DIV/0!</v>
      </c>
      <c r="F22" s="44" t="e">
        <f t="shared" si="7"/>
        <v>#DIV/0!</v>
      </c>
      <c r="G22" s="44" t="e">
        <f t="shared" si="7"/>
        <v>#DIV/0!</v>
      </c>
      <c r="H22" s="44" t="e">
        <f t="shared" si="7"/>
        <v>#DIV/0!</v>
      </c>
      <c r="I22" s="45" t="e">
        <f t="shared" si="7"/>
        <v>#DIV/0!</v>
      </c>
      <c r="J22" s="44" t="e">
        <f t="shared" si="7"/>
        <v>#DIV/0!</v>
      </c>
      <c r="K22" s="44" t="e">
        <f t="shared" si="7"/>
        <v>#DIV/0!</v>
      </c>
      <c r="L22" s="44" t="e">
        <f t="shared" si="7"/>
        <v>#DIV/0!</v>
      </c>
      <c r="M22" s="44" t="e">
        <f t="shared" si="7"/>
        <v>#DIV/0!</v>
      </c>
      <c r="N22" s="44" t="e">
        <f t="shared" si="7"/>
        <v>#DIV/0!</v>
      </c>
      <c r="O22" s="44" t="e">
        <f t="shared" si="7"/>
        <v>#DIV/0!</v>
      </c>
      <c r="P22" s="44" t="e">
        <f t="shared" si="7"/>
        <v>#DIV/0!</v>
      </c>
      <c r="Q22" s="44" t="e">
        <f t="shared" si="7"/>
        <v>#DIV/0!</v>
      </c>
      <c r="R22" s="45" t="e">
        <f t="shared" si="7"/>
        <v>#DIV/0!</v>
      </c>
      <c r="S22" s="44" t="e">
        <f t="shared" si="7"/>
        <v>#DIV/0!</v>
      </c>
      <c r="T22" s="44" t="e">
        <f t="shared" si="7"/>
        <v>#DIV/0!</v>
      </c>
      <c r="U22" s="44" t="e">
        <f t="shared" si="7"/>
        <v>#DIV/0!</v>
      </c>
      <c r="V22" s="44" t="e">
        <f t="shared" si="7"/>
        <v>#DIV/0!</v>
      </c>
      <c r="W22" s="44" t="e">
        <f t="shared" si="7"/>
        <v>#DIV/0!</v>
      </c>
      <c r="X22" s="44" t="e">
        <f t="shared" si="7"/>
        <v>#DIV/0!</v>
      </c>
      <c r="Y22" s="44" t="e">
        <f t="shared" si="7"/>
        <v>#DIV/0!</v>
      </c>
      <c r="Z22" s="44" t="e">
        <f t="shared" si="7"/>
        <v>#DIV/0!</v>
      </c>
      <c r="AA22" s="44" t="e">
        <f t="shared" si="7"/>
        <v>#DIV/0!</v>
      </c>
      <c r="AB22" s="44" t="e">
        <f t="shared" si="7"/>
        <v>#DIV/0!</v>
      </c>
      <c r="AC22" s="44" t="e">
        <f t="shared" si="7"/>
        <v>#DIV/0!</v>
      </c>
      <c r="AD22" s="44" t="e">
        <f t="shared" si="7"/>
        <v>#DIV/0!</v>
      </c>
      <c r="AE22" s="44" t="e">
        <f t="shared" si="7"/>
        <v>#DIV/0!</v>
      </c>
      <c r="AF22" s="52" t="e">
        <f t="shared" si="7"/>
        <v>#DIV/0!</v>
      </c>
      <c r="AG22" s="45" t="e">
        <f>(100*AG21)/SUM(AG14:AG21)</f>
        <v>#DIV/0!</v>
      </c>
      <c r="AH22" s="44"/>
      <c r="AI22" s="44"/>
    </row>
    <row r="23" spans="1:35" ht="9.75" customHeight="1" thickBot="1" x14ac:dyDescent="0.25">
      <c r="A23" s="55">
        <v>600770</v>
      </c>
      <c r="B23" s="34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56"/>
      <c r="AH23" s="48"/>
      <c r="AI23" s="49"/>
    </row>
    <row r="24" spans="1:35" ht="13.5" customHeight="1" x14ac:dyDescent="0.2">
      <c r="A24" s="17" t="s">
        <v>29</v>
      </c>
      <c r="B24" s="40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53"/>
      <c r="AG24" s="32">
        <f>SUM(B24:AF24)</f>
        <v>0</v>
      </c>
      <c r="AH24" s="32">
        <v>0.5</v>
      </c>
      <c r="AI24" s="32">
        <f>AG24*AH24</f>
        <v>0</v>
      </c>
    </row>
    <row r="25" spans="1:35" ht="9.75" customHeight="1" x14ac:dyDescent="0.2">
      <c r="A25" s="27" t="s">
        <v>46</v>
      </c>
      <c r="B25" s="40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51"/>
      <c r="AG25" s="32">
        <f t="shared" ref="AG25:AG29" si="8">SUM(B25:AF25)</f>
        <v>0</v>
      </c>
      <c r="AH25" s="32">
        <v>0.5</v>
      </c>
      <c r="AI25" s="32">
        <f t="shared" ref="AI25:AI29" si="9">AG25*AH25</f>
        <v>0</v>
      </c>
    </row>
    <row r="26" spans="1:35" ht="9.75" customHeight="1" x14ac:dyDescent="0.2">
      <c r="A26" s="27" t="s">
        <v>47</v>
      </c>
      <c r="B26" s="40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51"/>
      <c r="AG26" s="32">
        <f t="shared" si="8"/>
        <v>0</v>
      </c>
      <c r="AH26" s="32">
        <v>0.5</v>
      </c>
      <c r="AI26" s="32">
        <f t="shared" si="9"/>
        <v>0</v>
      </c>
    </row>
    <row r="27" spans="1:35" ht="9.75" customHeight="1" x14ac:dyDescent="0.2">
      <c r="A27" s="27" t="s">
        <v>48</v>
      </c>
      <c r="B27" s="40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51"/>
      <c r="AG27" s="32">
        <f t="shared" si="8"/>
        <v>0</v>
      </c>
      <c r="AH27" s="32">
        <v>0.5</v>
      </c>
      <c r="AI27" s="32">
        <f t="shared" si="9"/>
        <v>0</v>
      </c>
    </row>
    <row r="28" spans="1:35" ht="9.75" customHeight="1" x14ac:dyDescent="0.2">
      <c r="A28" s="27" t="s">
        <v>49</v>
      </c>
      <c r="B28" s="40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51"/>
      <c r="AG28" s="32">
        <f t="shared" si="8"/>
        <v>0</v>
      </c>
      <c r="AH28" s="32">
        <v>0.5</v>
      </c>
      <c r="AI28" s="32">
        <f t="shared" si="9"/>
        <v>0</v>
      </c>
    </row>
    <row r="29" spans="1:35" ht="9.75" customHeight="1" x14ac:dyDescent="0.2">
      <c r="A29" s="27" t="s">
        <v>50</v>
      </c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53"/>
      <c r="AG29" s="32">
        <f t="shared" si="8"/>
        <v>0</v>
      </c>
      <c r="AH29" s="32">
        <v>0.5</v>
      </c>
      <c r="AI29" s="32">
        <f t="shared" si="9"/>
        <v>0</v>
      </c>
    </row>
    <row r="30" spans="1:35" ht="9.75" customHeight="1" x14ac:dyDescent="0.2">
      <c r="A30" s="20" t="s">
        <v>30</v>
      </c>
      <c r="B30" s="21">
        <f>SUM(B25:B29)</f>
        <v>0</v>
      </c>
      <c r="C30" s="21">
        <f t="shared" ref="C30:AF30" si="10">SUM(C25:C29)</f>
        <v>0</v>
      </c>
      <c r="D30" s="21">
        <f t="shared" si="10"/>
        <v>0</v>
      </c>
      <c r="E30" s="21">
        <f t="shared" si="10"/>
        <v>0</v>
      </c>
      <c r="F30" s="21">
        <f t="shared" si="10"/>
        <v>0</v>
      </c>
      <c r="G30" s="21">
        <f t="shared" si="10"/>
        <v>0</v>
      </c>
      <c r="H30" s="21">
        <f t="shared" si="10"/>
        <v>0</v>
      </c>
      <c r="I30" s="21">
        <f t="shared" si="10"/>
        <v>0</v>
      </c>
      <c r="J30" s="21">
        <f t="shared" si="10"/>
        <v>0</v>
      </c>
      <c r="K30" s="21">
        <f t="shared" si="10"/>
        <v>0</v>
      </c>
      <c r="L30" s="21">
        <f t="shared" si="10"/>
        <v>0</v>
      </c>
      <c r="M30" s="21">
        <f t="shared" si="10"/>
        <v>0</v>
      </c>
      <c r="N30" s="21">
        <f t="shared" si="10"/>
        <v>0</v>
      </c>
      <c r="O30" s="21">
        <f t="shared" si="10"/>
        <v>0</v>
      </c>
      <c r="P30" s="21">
        <f t="shared" si="10"/>
        <v>0</v>
      </c>
      <c r="Q30" s="21">
        <f t="shared" si="10"/>
        <v>0</v>
      </c>
      <c r="R30" s="21">
        <f t="shared" si="10"/>
        <v>0</v>
      </c>
      <c r="S30" s="21">
        <f t="shared" si="10"/>
        <v>0</v>
      </c>
      <c r="T30" s="21">
        <f t="shared" si="10"/>
        <v>0</v>
      </c>
      <c r="U30" s="21">
        <f t="shared" si="10"/>
        <v>0</v>
      </c>
      <c r="V30" s="21">
        <f t="shared" si="10"/>
        <v>0</v>
      </c>
      <c r="W30" s="21">
        <f t="shared" si="10"/>
        <v>0</v>
      </c>
      <c r="X30" s="21">
        <f t="shared" si="10"/>
        <v>0</v>
      </c>
      <c r="Y30" s="21">
        <f t="shared" si="10"/>
        <v>0</v>
      </c>
      <c r="Z30" s="21">
        <f t="shared" si="10"/>
        <v>0</v>
      </c>
      <c r="AA30" s="21">
        <f t="shared" si="10"/>
        <v>0</v>
      </c>
      <c r="AB30" s="21">
        <f t="shared" si="10"/>
        <v>0</v>
      </c>
      <c r="AC30" s="21">
        <f t="shared" si="10"/>
        <v>0</v>
      </c>
      <c r="AD30" s="21">
        <f t="shared" si="10"/>
        <v>0</v>
      </c>
      <c r="AE30" s="21">
        <f t="shared" si="10"/>
        <v>0</v>
      </c>
      <c r="AF30" s="21">
        <f t="shared" si="10"/>
        <v>0</v>
      </c>
      <c r="AG30" s="33">
        <f>SUM(AG25:AG29)</f>
        <v>0</v>
      </c>
      <c r="AH30" s="32">
        <v>0.5</v>
      </c>
      <c r="AI30" s="32">
        <f>AG30*AH30</f>
        <v>0</v>
      </c>
    </row>
    <row r="31" spans="1:35" ht="9.75" customHeight="1" thickBot="1" x14ac:dyDescent="0.25">
      <c r="A31" s="19" t="s">
        <v>31</v>
      </c>
      <c r="B31" s="58" t="e">
        <f t="shared" ref="B31:AF31" si="11">B30*100/(B24+B30)</f>
        <v>#DIV/0!</v>
      </c>
      <c r="C31" s="58" t="e">
        <f t="shared" si="11"/>
        <v>#DIV/0!</v>
      </c>
      <c r="D31" s="58" t="e">
        <f t="shared" si="11"/>
        <v>#DIV/0!</v>
      </c>
      <c r="E31" s="58" t="e">
        <f t="shared" si="11"/>
        <v>#DIV/0!</v>
      </c>
      <c r="F31" s="58" t="e">
        <f t="shared" si="11"/>
        <v>#DIV/0!</v>
      </c>
      <c r="G31" s="58" t="e">
        <f t="shared" si="11"/>
        <v>#DIV/0!</v>
      </c>
      <c r="H31" s="58" t="e">
        <f t="shared" si="11"/>
        <v>#DIV/0!</v>
      </c>
      <c r="I31" s="59" t="e">
        <f t="shared" si="11"/>
        <v>#DIV/0!</v>
      </c>
      <c r="J31" s="58" t="e">
        <f t="shared" si="11"/>
        <v>#DIV/0!</v>
      </c>
      <c r="K31" s="58" t="e">
        <f t="shared" si="11"/>
        <v>#DIV/0!</v>
      </c>
      <c r="L31" s="58" t="e">
        <f t="shared" si="11"/>
        <v>#DIV/0!</v>
      </c>
      <c r="M31" s="58" t="e">
        <f t="shared" si="11"/>
        <v>#DIV/0!</v>
      </c>
      <c r="N31" s="58" t="e">
        <f t="shared" si="11"/>
        <v>#DIV/0!</v>
      </c>
      <c r="O31" s="58" t="e">
        <f t="shared" si="11"/>
        <v>#DIV/0!</v>
      </c>
      <c r="P31" s="58" t="e">
        <f t="shared" si="11"/>
        <v>#DIV/0!</v>
      </c>
      <c r="Q31" s="58" t="e">
        <f t="shared" si="11"/>
        <v>#DIV/0!</v>
      </c>
      <c r="R31" s="59" t="e">
        <f t="shared" si="11"/>
        <v>#DIV/0!</v>
      </c>
      <c r="S31" s="58" t="e">
        <f t="shared" si="11"/>
        <v>#DIV/0!</v>
      </c>
      <c r="T31" s="58" t="e">
        <f t="shared" si="11"/>
        <v>#DIV/0!</v>
      </c>
      <c r="U31" s="58" t="e">
        <f t="shared" si="11"/>
        <v>#DIV/0!</v>
      </c>
      <c r="V31" s="58" t="e">
        <f t="shared" si="11"/>
        <v>#DIV/0!</v>
      </c>
      <c r="W31" s="58" t="e">
        <f t="shared" si="11"/>
        <v>#DIV/0!</v>
      </c>
      <c r="X31" s="58" t="e">
        <f t="shared" si="11"/>
        <v>#DIV/0!</v>
      </c>
      <c r="Y31" s="58" t="e">
        <f t="shared" si="11"/>
        <v>#DIV/0!</v>
      </c>
      <c r="Z31" s="58" t="e">
        <f t="shared" si="11"/>
        <v>#DIV/0!</v>
      </c>
      <c r="AA31" s="58" t="e">
        <f t="shared" si="11"/>
        <v>#DIV/0!</v>
      </c>
      <c r="AB31" s="58" t="e">
        <f t="shared" si="11"/>
        <v>#DIV/0!</v>
      </c>
      <c r="AC31" s="58" t="e">
        <f t="shared" si="11"/>
        <v>#DIV/0!</v>
      </c>
      <c r="AD31" s="58" t="e">
        <f t="shared" si="11"/>
        <v>#DIV/0!</v>
      </c>
      <c r="AE31" s="58" t="e">
        <f t="shared" si="11"/>
        <v>#DIV/0!</v>
      </c>
      <c r="AF31" s="60" t="e">
        <f t="shared" si="11"/>
        <v>#DIV/0!</v>
      </c>
      <c r="AG31" s="45" t="e">
        <f>(100*AG30)/SUM(AG24:AG30)</f>
        <v>#DIV/0!</v>
      </c>
      <c r="AH31" s="44"/>
      <c r="AI31" s="44"/>
    </row>
    <row r="32" spans="1:35" ht="9.75" customHeight="1" thickBot="1" x14ac:dyDescent="0.25">
      <c r="A32" s="57"/>
      <c r="B32" s="47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9"/>
    </row>
    <row r="33" spans="1:35" ht="9.75" customHeight="1" x14ac:dyDescent="0.2">
      <c r="A33" s="24" t="s">
        <v>32</v>
      </c>
      <c r="B33" s="61" t="e">
        <f>((B11+B21+B30)*100)/(B4+B11+B14+B21+B24+B30)</f>
        <v>#DIV/0!</v>
      </c>
      <c r="C33" s="61" t="e">
        <f>((C11+C21+C30)*100)/(C4+C11+C14+C21+C24+C30)</f>
        <v>#DIV/0!</v>
      </c>
      <c r="D33" s="61" t="e">
        <f t="shared" ref="B33:AF33" si="12">((D11+D21+D30)*100)/(D4+D11+D14+D21+D24+D30)</f>
        <v>#DIV/0!</v>
      </c>
      <c r="E33" s="61" t="e">
        <f t="shared" si="12"/>
        <v>#DIV/0!</v>
      </c>
      <c r="F33" s="61" t="e">
        <f t="shared" si="12"/>
        <v>#DIV/0!</v>
      </c>
      <c r="G33" s="61" t="e">
        <f t="shared" si="12"/>
        <v>#DIV/0!</v>
      </c>
      <c r="H33" s="61" t="e">
        <f t="shared" si="12"/>
        <v>#DIV/0!</v>
      </c>
      <c r="I33" s="62" t="e">
        <f t="shared" si="12"/>
        <v>#DIV/0!</v>
      </c>
      <c r="J33" s="61" t="e">
        <f t="shared" si="12"/>
        <v>#DIV/0!</v>
      </c>
      <c r="K33" s="61" t="e">
        <f t="shared" si="12"/>
        <v>#DIV/0!</v>
      </c>
      <c r="L33" s="61" t="e">
        <f t="shared" si="12"/>
        <v>#DIV/0!</v>
      </c>
      <c r="M33" s="61" t="e">
        <f t="shared" si="12"/>
        <v>#DIV/0!</v>
      </c>
      <c r="N33" s="61" t="e">
        <f t="shared" si="12"/>
        <v>#DIV/0!</v>
      </c>
      <c r="O33" s="61" t="e">
        <f t="shared" si="12"/>
        <v>#DIV/0!</v>
      </c>
      <c r="P33" s="61" t="e">
        <f t="shared" si="12"/>
        <v>#DIV/0!</v>
      </c>
      <c r="Q33" s="61" t="e">
        <f t="shared" si="12"/>
        <v>#DIV/0!</v>
      </c>
      <c r="R33" s="62" t="e">
        <f t="shared" si="12"/>
        <v>#DIV/0!</v>
      </c>
      <c r="S33" s="61" t="e">
        <f t="shared" si="12"/>
        <v>#DIV/0!</v>
      </c>
      <c r="T33" s="61" t="e">
        <f t="shared" si="12"/>
        <v>#DIV/0!</v>
      </c>
      <c r="U33" s="61" t="e">
        <f t="shared" si="12"/>
        <v>#DIV/0!</v>
      </c>
      <c r="V33" s="61" t="e">
        <f t="shared" si="12"/>
        <v>#DIV/0!</v>
      </c>
      <c r="W33" s="61" t="e">
        <f t="shared" si="12"/>
        <v>#DIV/0!</v>
      </c>
      <c r="X33" s="61" t="e">
        <f t="shared" si="12"/>
        <v>#DIV/0!</v>
      </c>
      <c r="Y33" s="61" t="e">
        <f t="shared" si="12"/>
        <v>#DIV/0!</v>
      </c>
      <c r="Z33" s="61" t="e">
        <f t="shared" si="12"/>
        <v>#DIV/0!</v>
      </c>
      <c r="AA33" s="61" t="e">
        <f t="shared" si="12"/>
        <v>#DIV/0!</v>
      </c>
      <c r="AB33" s="61" t="e">
        <f t="shared" si="12"/>
        <v>#DIV/0!</v>
      </c>
      <c r="AC33" s="61" t="e">
        <f t="shared" si="12"/>
        <v>#DIV/0!</v>
      </c>
      <c r="AD33" s="61" t="e">
        <f t="shared" si="12"/>
        <v>#DIV/0!</v>
      </c>
      <c r="AE33" s="61" t="e">
        <f t="shared" si="12"/>
        <v>#DIV/0!</v>
      </c>
      <c r="AF33" s="54" t="e">
        <f t="shared" si="12"/>
        <v>#DIV/0!</v>
      </c>
      <c r="AG33" s="53" t="e">
        <f xml:space="preserve"> (SUM((AG5:AG10),(AG15:AG20),(AG25:AG29))*100)/SUM((AG4:AG10),(AG14:AG20),(AG24:AG29))</f>
        <v>#DIV/0!</v>
      </c>
      <c r="AH33" s="63"/>
      <c r="AI33" s="53" t="e">
        <f xml:space="preserve"> (SUM((AI5:AI10),(AI15:AI20),(AI25:AI29))*100)/SUM((AI4:AI10),(AI14:AI20),(AI24:AI29))</f>
        <v>#DIV/0!</v>
      </c>
    </row>
    <row r="34" spans="1:35" ht="9.75" customHeight="1" x14ac:dyDescent="0.2">
      <c r="A34" s="38" t="s">
        <v>43</v>
      </c>
      <c r="B34" s="21">
        <f>SUM(B10,B20,B29)</f>
        <v>0</v>
      </c>
      <c r="C34" s="21">
        <f t="shared" ref="C34:AF34" si="13">SUM(C10,C20,C29)</f>
        <v>0</v>
      </c>
      <c r="D34" s="21">
        <f>SUM(D10,D20,D29)</f>
        <v>0</v>
      </c>
      <c r="E34" s="21">
        <f t="shared" si="13"/>
        <v>0</v>
      </c>
      <c r="F34" s="21">
        <f t="shared" si="13"/>
        <v>0</v>
      </c>
      <c r="G34" s="21">
        <f t="shared" si="13"/>
        <v>0</v>
      </c>
      <c r="H34" s="21">
        <f t="shared" si="13"/>
        <v>0</v>
      </c>
      <c r="I34" s="21">
        <f t="shared" si="13"/>
        <v>0</v>
      </c>
      <c r="J34" s="21">
        <f t="shared" si="13"/>
        <v>0</v>
      </c>
      <c r="K34" s="21">
        <f t="shared" si="13"/>
        <v>0</v>
      </c>
      <c r="L34" s="21">
        <f t="shared" si="13"/>
        <v>0</v>
      </c>
      <c r="M34" s="21">
        <f t="shared" si="13"/>
        <v>0</v>
      </c>
      <c r="N34" s="21">
        <f t="shared" si="13"/>
        <v>0</v>
      </c>
      <c r="O34" s="21">
        <f t="shared" si="13"/>
        <v>0</v>
      </c>
      <c r="P34" s="21">
        <f t="shared" si="13"/>
        <v>0</v>
      </c>
      <c r="Q34" s="21">
        <f t="shared" si="13"/>
        <v>0</v>
      </c>
      <c r="R34" s="21">
        <f t="shared" si="13"/>
        <v>0</v>
      </c>
      <c r="S34" s="21">
        <f t="shared" si="13"/>
        <v>0</v>
      </c>
      <c r="T34" s="21">
        <f t="shared" si="13"/>
        <v>0</v>
      </c>
      <c r="U34" s="21">
        <f t="shared" si="13"/>
        <v>0</v>
      </c>
      <c r="V34" s="21">
        <f t="shared" si="13"/>
        <v>0</v>
      </c>
      <c r="W34" s="21">
        <f t="shared" si="13"/>
        <v>0</v>
      </c>
      <c r="X34" s="21">
        <f t="shared" si="13"/>
        <v>0</v>
      </c>
      <c r="Y34" s="21">
        <f t="shared" si="13"/>
        <v>0</v>
      </c>
      <c r="Z34" s="21">
        <f t="shared" si="13"/>
        <v>0</v>
      </c>
      <c r="AA34" s="21">
        <f t="shared" si="13"/>
        <v>0</v>
      </c>
      <c r="AB34" s="21">
        <f t="shared" si="13"/>
        <v>0</v>
      </c>
      <c r="AC34" s="21">
        <f t="shared" si="13"/>
        <v>0</v>
      </c>
      <c r="AD34" s="21">
        <f t="shared" si="13"/>
        <v>0</v>
      </c>
      <c r="AE34" s="21">
        <f t="shared" si="13"/>
        <v>0</v>
      </c>
      <c r="AF34" s="21">
        <f>SUM(AF10,AF20,AF29)</f>
        <v>0</v>
      </c>
      <c r="AG34" s="51">
        <f>SUM(AG10+AG20+AG29)</f>
        <v>0</v>
      </c>
      <c r="AH34" s="63"/>
      <c r="AI34" s="51">
        <f>SUM(AI10+AI20+AI29)</f>
        <v>0</v>
      </c>
    </row>
    <row r="35" spans="1:35" ht="9.75" customHeight="1" thickBot="1" x14ac:dyDescent="0.25">
      <c r="A35" s="39" t="s">
        <v>44</v>
      </c>
      <c r="B35" s="21" t="e">
        <f>B34*100/(B4+B11+B14+B21+B24+B30)</f>
        <v>#DIV/0!</v>
      </c>
      <c r="C35" s="25" t="e">
        <f>C34*100/(C4+C11+C14+C21+C24+C30)</f>
        <v>#DIV/0!</v>
      </c>
      <c r="D35" s="25" t="e">
        <f t="shared" ref="B35:AF35" si="14">D34*100/(D4+D11+D14+D21+D24+D30)</f>
        <v>#DIV/0!</v>
      </c>
      <c r="E35" s="25" t="e">
        <f t="shared" si="14"/>
        <v>#DIV/0!</v>
      </c>
      <c r="F35" s="25" t="e">
        <f t="shared" si="14"/>
        <v>#DIV/0!</v>
      </c>
      <c r="G35" s="25" t="e">
        <f t="shared" si="14"/>
        <v>#DIV/0!</v>
      </c>
      <c r="H35" s="25" t="e">
        <f t="shared" si="14"/>
        <v>#DIV/0!</v>
      </c>
      <c r="I35" s="33" t="e">
        <f t="shared" si="14"/>
        <v>#DIV/0!</v>
      </c>
      <c r="J35" s="25" t="e">
        <f t="shared" si="14"/>
        <v>#DIV/0!</v>
      </c>
      <c r="K35" s="25" t="e">
        <f t="shared" si="14"/>
        <v>#DIV/0!</v>
      </c>
      <c r="L35" s="25" t="e">
        <f t="shared" si="14"/>
        <v>#DIV/0!</v>
      </c>
      <c r="M35" s="25" t="e">
        <f t="shared" si="14"/>
        <v>#DIV/0!</v>
      </c>
      <c r="N35" s="25" t="e">
        <f t="shared" si="14"/>
        <v>#DIV/0!</v>
      </c>
      <c r="O35" s="25" t="e">
        <f t="shared" si="14"/>
        <v>#DIV/0!</v>
      </c>
      <c r="P35" s="25" t="e">
        <f t="shared" si="14"/>
        <v>#DIV/0!</v>
      </c>
      <c r="Q35" s="25" t="e">
        <f t="shared" si="14"/>
        <v>#DIV/0!</v>
      </c>
      <c r="R35" s="33" t="e">
        <f t="shared" si="14"/>
        <v>#DIV/0!</v>
      </c>
      <c r="S35" s="25" t="e">
        <f t="shared" si="14"/>
        <v>#DIV/0!</v>
      </c>
      <c r="T35" s="25" t="e">
        <f t="shared" si="14"/>
        <v>#DIV/0!</v>
      </c>
      <c r="U35" s="25" t="e">
        <f t="shared" si="14"/>
        <v>#DIV/0!</v>
      </c>
      <c r="V35" s="25" t="e">
        <f t="shared" si="14"/>
        <v>#DIV/0!</v>
      </c>
      <c r="W35" s="25" t="e">
        <f t="shared" si="14"/>
        <v>#DIV/0!</v>
      </c>
      <c r="X35" s="25" t="e">
        <f t="shared" si="14"/>
        <v>#DIV/0!</v>
      </c>
      <c r="Y35" s="25" t="e">
        <f t="shared" si="14"/>
        <v>#DIV/0!</v>
      </c>
      <c r="Z35" s="25" t="e">
        <f t="shared" si="14"/>
        <v>#DIV/0!</v>
      </c>
      <c r="AA35" s="25" t="e">
        <f t="shared" si="14"/>
        <v>#DIV/0!</v>
      </c>
      <c r="AB35" s="25" t="e">
        <f t="shared" si="14"/>
        <v>#DIV/0!</v>
      </c>
      <c r="AC35" s="25" t="e">
        <f t="shared" si="14"/>
        <v>#DIV/0!</v>
      </c>
      <c r="AD35" s="25" t="e">
        <f t="shared" si="14"/>
        <v>#DIV/0!</v>
      </c>
      <c r="AE35" s="25" t="e">
        <f t="shared" si="14"/>
        <v>#DIV/0!</v>
      </c>
      <c r="AF35" s="51" t="e">
        <f t="shared" si="14"/>
        <v>#DIV/0!</v>
      </c>
      <c r="AG35" s="51" t="e">
        <f xml:space="preserve"> (100* AG34)/SUM((AG4:AG10),(AG14:AG20),(AG24:AG29))</f>
        <v>#DIV/0!</v>
      </c>
      <c r="AH35" s="32"/>
      <c r="AI35" s="51" t="e">
        <f xml:space="preserve"> (100* AI34)/SUM((AI4:AI10),(AI14:AI20),(AI24:AI29))</f>
        <v>#DIV/0!</v>
      </c>
    </row>
  </sheetData>
  <mergeCells count="32">
    <mergeCell ref="AF1:AF2"/>
    <mergeCell ref="B3:AF3"/>
    <mergeCell ref="Z1:Z2"/>
    <mergeCell ref="AA1:AA2"/>
    <mergeCell ref="AB1:AB2"/>
    <mergeCell ref="AC1:AC2"/>
    <mergeCell ref="AD1:AD2"/>
    <mergeCell ref="AE1:AE2"/>
    <mergeCell ref="T1:T2"/>
    <mergeCell ref="U1:U2"/>
    <mergeCell ref="V1:V2"/>
    <mergeCell ref="W1:W2"/>
    <mergeCell ref="X1:X2"/>
    <mergeCell ref="Y1:Y2"/>
    <mergeCell ref="S1:S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G1:G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Y202"/>
  <sheetViews>
    <sheetView zoomScale="90" zoomScaleNormal="90" workbookViewId="0">
      <selection activeCell="J22" sqref="J22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Y202"/>
  <sheetViews>
    <sheetView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6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7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8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9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0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1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2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3"/>
  <dimension ref="A1:Y202"/>
  <sheetViews>
    <sheetView zoomScale="90" zoomScaleNormal="90" workbookViewId="0">
      <selection activeCell="F16" sqref="F1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4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25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26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27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29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8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30"/>
  <dimension ref="A1:Y202"/>
  <sheetViews>
    <sheetView topLeftCell="A13" zoomScale="90" zoomScaleNormal="90" workbookViewId="0">
      <selection activeCell="T17" sqref="T17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31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32"/>
  <dimension ref="A1:Y202"/>
  <sheetViews>
    <sheetView zoomScale="90" zoomScaleNormal="90" workbookViewId="0">
      <selection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33"/>
  <dimension ref="A1:Y202"/>
  <sheetViews>
    <sheetView zoomScale="90" zoomScaleNormal="90" workbookViewId="0">
      <selection activeCell="N4" sqref="N4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34"/>
  <dimension ref="A1:Y202"/>
  <sheetViews>
    <sheetView zoomScale="90" zoomScaleNormal="90" workbookViewId="0">
      <selection activeCell="Y5" sqref="A1:XFD1048576"/>
    </sheetView>
  </sheetViews>
  <sheetFormatPr defaultRowHeight="15" x14ac:dyDescent="0.25"/>
  <cols>
    <col min="1" max="1" width="5.85546875" customWidth="1"/>
    <col min="2" max="2" width="5" customWidth="1"/>
    <col min="3" max="3" width="7.140625" bestFit="1" customWidth="1"/>
    <col min="4" max="4" width="14.5703125" bestFit="1" customWidth="1"/>
    <col min="5" max="5" width="5.28515625" customWidth="1"/>
    <col min="7" max="7" width="12" bestFit="1" customWidth="1"/>
    <col min="8" max="8" width="4.85546875" customWidth="1"/>
    <col min="9" max="9" width="9.7109375" bestFit="1" customWidth="1"/>
    <col min="11" max="11" width="4.7109375" bestFit="1" customWidth="1"/>
    <col min="13" max="13" width="3.5703125" customWidth="1"/>
    <col min="14" max="14" width="5.85546875" customWidth="1"/>
    <col min="15" max="15" width="5" customWidth="1"/>
    <col min="16" max="16" width="7.140625" bestFit="1" customWidth="1"/>
    <col min="17" max="17" width="14.5703125" bestFit="1" customWidth="1"/>
    <col min="18" max="18" width="4" customWidth="1"/>
    <col min="20" max="20" width="12" bestFit="1" customWidth="1"/>
    <col min="21" max="21" width="4.85546875" customWidth="1"/>
    <col min="22" max="22" width="9.7109375" bestFit="1" customWidth="1"/>
    <col min="24" max="24" width="4.7109375" bestFit="1" customWidth="1"/>
  </cols>
  <sheetData>
    <row r="1" spans="1:25" s="14" customFormat="1" ht="34.5" customHeight="1" x14ac:dyDescent="0.25">
      <c r="A1" s="10" t="s">
        <v>11</v>
      </c>
      <c r="B1" s="11" t="s">
        <v>0</v>
      </c>
      <c r="C1" s="12" t="s">
        <v>2</v>
      </c>
      <c r="D1" s="11" t="s">
        <v>13</v>
      </c>
      <c r="E1" s="11" t="s">
        <v>17</v>
      </c>
      <c r="F1" s="11" t="s">
        <v>18</v>
      </c>
      <c r="G1" s="11" t="s">
        <v>12</v>
      </c>
      <c r="H1" s="11" t="s">
        <v>19</v>
      </c>
      <c r="I1" s="13" t="s">
        <v>20</v>
      </c>
      <c r="J1" s="11" t="s">
        <v>16</v>
      </c>
      <c r="K1" s="13" t="s">
        <v>21</v>
      </c>
      <c r="L1" s="13" t="s">
        <v>22</v>
      </c>
      <c r="N1" s="10" t="s">
        <v>14</v>
      </c>
      <c r="O1" s="11" t="s">
        <v>0</v>
      </c>
      <c r="P1" s="12" t="s">
        <v>2</v>
      </c>
      <c r="Q1" s="11" t="s">
        <v>13</v>
      </c>
      <c r="R1" s="11" t="s">
        <v>17</v>
      </c>
      <c r="S1" s="11" t="s">
        <v>18</v>
      </c>
      <c r="T1" s="11" t="s">
        <v>12</v>
      </c>
      <c r="U1" s="11" t="s">
        <v>19</v>
      </c>
      <c r="V1" s="13" t="s">
        <v>20</v>
      </c>
      <c r="W1" s="11" t="s">
        <v>16</v>
      </c>
      <c r="X1" s="13" t="s">
        <v>21</v>
      </c>
      <c r="Y1" s="13" t="s">
        <v>22</v>
      </c>
    </row>
    <row r="2" spans="1:25" s="14" customFormat="1" ht="23.25" customHeight="1" x14ac:dyDescent="0.25">
      <c r="A2" s="15" t="s">
        <v>1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N2" s="15" t="s">
        <v>1</v>
      </c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1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N5" s="1">
        <v>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N6" s="1">
        <v>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N7" s="1">
        <v>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1">
        <v>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N9" s="1">
        <v>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N10" s="1">
        <v>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N11" s="1">
        <v>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N12" s="1">
        <v>10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>
        <v>11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N14" s="1">
        <v>12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>
        <v>13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N16" s="1">
        <v>14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N17" s="1">
        <v>15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1">
        <v>16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17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N19" s="1">
        <v>17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N20" s="1">
        <v>18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19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N21" s="1">
        <v>19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N22" s="1">
        <v>20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N23" s="1">
        <v>21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N24" s="1">
        <v>22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23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N25" s="1">
        <v>23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N26" s="1">
        <v>24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N27" s="1">
        <v>25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N28" s="1">
        <v>26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27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N29" s="1">
        <v>27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28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N30" s="1">
        <v>28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>
        <v>29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30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N32" s="1">
        <v>30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31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N33" s="1">
        <v>31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32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N34" s="1">
        <v>32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33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N35" s="1">
        <v>33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">
        <v>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35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">
        <v>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36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N38" s="1">
        <v>36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37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N39" s="1">
        <v>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38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N40" s="1">
        <v>38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N41" s="1">
        <v>39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">
        <v>40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N42" s="1">
        <v>40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41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N43" s="1">
        <v>41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42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>
        <v>42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43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>
        <v>43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44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>
        <v>44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45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>
        <v>45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46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>
        <v>46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47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>
        <v>47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48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>
        <v>48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1">
        <v>49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>
        <v>49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1">
        <v>50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>
        <v>50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1">
        <v>51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>
        <v>51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1">
        <v>52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>
        <v>52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1">
        <v>53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>
        <v>53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1">
        <v>54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>
        <v>54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55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>
        <v>55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56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>
        <v>56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57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>
        <v>57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58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>
        <v>58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59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>
        <v>59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60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>
        <v>60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61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>
        <v>61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62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>
        <v>62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63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>
        <v>63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64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>
        <v>64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>
        <v>65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66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>
        <v>66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67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>
        <v>67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68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>
        <v>68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69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>
        <v>69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70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71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>
        <v>71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72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73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>
        <v>73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1">
        <v>74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>
        <v>74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1">
        <v>75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>
        <v>75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1">
        <v>76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>
        <v>76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1">
        <v>77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>
        <v>77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1">
        <v>78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>
        <v>78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1">
        <v>79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>
        <v>79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1">
        <v>80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>
        <v>80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1">
        <v>81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>
        <v>81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>
        <v>82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>
        <v>82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83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>
        <v>83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84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>
        <v>84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85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>
        <v>85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86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>
        <v>86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87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>
        <v>87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88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>
        <v>88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89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>
        <v>89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>
        <v>90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91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>
        <v>91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92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>
        <v>92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93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>
        <v>93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94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>
        <v>94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>
        <v>95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>
        <v>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96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>
        <v>96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97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>
        <v>97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98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>
        <v>98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99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>
        <v>99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100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>
        <v>100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101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>
        <v>101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102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>
        <v>102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>
        <v>103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104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>
        <v>104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105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>
        <v>105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106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>
        <v>106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107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>
        <v>107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108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>
        <v>108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109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>
        <v>109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110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>
        <v>110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111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>
        <v>111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112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>
        <v>112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113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>
        <v>113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114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>
        <v>114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115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>
        <v>115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116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>
        <v>116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117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>
        <v>117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118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>
        <v>118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119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>
        <v>119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120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>
        <v>120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121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>
        <v>121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122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>
        <v>122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1">
        <v>123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>
        <v>123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1">
        <v>124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>
        <v>124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>
        <v>125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>
        <v>125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>
        <v>126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>
        <v>126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>
        <v>127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>
        <v>127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128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>
        <v>128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129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>
        <v>129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130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>
        <v>130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131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>
        <v>131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132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>
        <v>132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133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>
        <v>133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134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>
        <v>134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135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>
        <v>135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136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>
        <v>136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137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>
        <v>137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138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>
        <v>138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139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>
        <v>139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140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>
        <v>140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141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>
        <v>141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142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>
        <v>142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143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>
        <v>143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144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>
        <v>144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145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>
        <v>145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146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>
        <v>146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147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>
        <v>147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148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>
        <v>148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149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>
        <v>149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150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>
        <v>150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151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>
        <v>151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152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>
        <v>152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153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>
        <v>153</v>
      </c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154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>
        <v>154</v>
      </c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155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>
        <v>155</v>
      </c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156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>
        <v>156</v>
      </c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157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>
        <v>157</v>
      </c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158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>
        <v>158</v>
      </c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159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>
        <v>159</v>
      </c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160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>
        <v>160</v>
      </c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161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>
        <v>161</v>
      </c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162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>
        <v>162</v>
      </c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163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>
        <v>163</v>
      </c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164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>
        <v>164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165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>
        <v>165</v>
      </c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166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>
        <v>166</v>
      </c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167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>
        <v>167</v>
      </c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168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>
        <v>168</v>
      </c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169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>
        <v>169</v>
      </c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170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>
        <v>170</v>
      </c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171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>
        <v>171</v>
      </c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172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>
        <v>172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173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>
        <v>173</v>
      </c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174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>
        <v>174</v>
      </c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175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>
        <v>175</v>
      </c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176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>
        <v>176</v>
      </c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177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>
        <v>177</v>
      </c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178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>
        <v>178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179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>
        <v>179</v>
      </c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>
        <v>180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>
        <v>180</v>
      </c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>
        <v>181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>
        <v>181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>
        <v>182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>
        <v>182</v>
      </c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>
        <v>183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>
        <v>183</v>
      </c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>
        <v>184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>
        <v>184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>
        <v>185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>
        <v>185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>
        <v>186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>
        <v>186</v>
      </c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>
        <v>187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>
        <v>187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>
        <v>188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>
        <v>188</v>
      </c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189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>
        <v>189</v>
      </c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190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>
        <v>190</v>
      </c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191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>
        <v>191</v>
      </c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192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>
        <v>192</v>
      </c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193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>
        <v>193</v>
      </c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194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>
        <v>194</v>
      </c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195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>
        <v>195</v>
      </c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196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>
        <v>196</v>
      </c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197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>
        <v>197</v>
      </c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198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>
        <v>198</v>
      </c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199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>
        <v>199</v>
      </c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200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>
        <v>200</v>
      </c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</sheetData>
  <phoneticPr fontId="0" type="noConversion"/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D5E-41DB-4AF3-B17C-601012222175}">
  <sheetPr codeName="Лист35"/>
  <dimension ref="B8:E8"/>
  <sheetViews>
    <sheetView workbookViewId="0">
      <selection activeCell="H10" sqref="H10"/>
    </sheetView>
  </sheetViews>
  <sheetFormatPr defaultRowHeight="15" x14ac:dyDescent="0.25"/>
  <cols>
    <col min="4" max="4" width="11" customWidth="1"/>
  </cols>
  <sheetData>
    <row r="8" spans="2:5" x14ac:dyDescent="0.25">
      <c r="B8" s="64" t="s">
        <v>45</v>
      </c>
      <c r="C8" s="64"/>
      <c r="D8" s="7">
        <v>30</v>
      </c>
      <c r="E8" s="26"/>
    </row>
  </sheetData>
  <mergeCells count="1">
    <mergeCell ref="B8:C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ИТОГ за месяц</vt:lpstr>
      <vt:lpstr>ЗП</vt:lpstr>
      <vt:lpstr>Проценты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26</vt:lpstr>
      <vt:lpstr>25</vt:lpstr>
      <vt:lpstr>27</vt:lpstr>
      <vt:lpstr>28</vt:lpstr>
      <vt:lpstr>29</vt:lpstr>
      <vt:lpstr>30</vt:lpstr>
      <vt:lpstr>31</vt:lpstr>
      <vt:lpstr>Опции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2021-03-03T08:49:19Z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aeff9d91-4847-4034-b82d-8fba262b390d</vt:lpwstr>
  </property>
</Properties>
</file>